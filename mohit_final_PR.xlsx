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esktop\mohit\New folder\"/>
    </mc:Choice>
  </mc:AlternateContent>
  <xr:revisionPtr revIDLastSave="0" documentId="8_{3A33CFCE-F9EF-4700-A88A-D36CA52DF837}" xr6:coauthVersionLast="47" xr6:coauthVersionMax="47" xr10:uidLastSave="{00000000-0000-0000-0000-000000000000}"/>
  <bookViews>
    <workbookView xWindow="-120" yWindow="-120" windowWidth="29040" windowHeight="16440" activeTab="4" xr2:uid="{F2E0A12B-84C5-45A2-A8B8-31F2B0195EE1}"/>
  </bookViews>
  <sheets>
    <sheet name="Sheet1" sheetId="1" r:id="rId1"/>
    <sheet name="data analysis" sheetId="3" r:id="rId2"/>
    <sheet name="remove duplicate" sheetId="2" r:id="rId3"/>
    <sheet name="charts" sheetId="4" r:id="rId4"/>
    <sheet name="Dashbord" sheetId="5" r:id="rId5"/>
  </sheets>
  <definedNames>
    <definedName name="Slicer_Category">#N/A</definedName>
    <definedName name="Slicer_Customer_Segment">#N/A</definedName>
    <definedName name="Slicer_Quarters__Date">#N/A</definedName>
  </definedNames>
  <calcPr calcId="191029"/>
  <pivotCaches>
    <pivotCache cacheId="5" r:id="rId6"/>
    <pivotCache cacheId="1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 i="2" l="1" a="1"/>
  <c r="S2" i="2" s="1"/>
  <c r="S3" i="2" a="1"/>
  <c r="S3" i="2" s="1"/>
  <c r="S4" i="2" a="1"/>
  <c r="S4" i="2"/>
  <c r="S5" i="2" a="1"/>
  <c r="S5" i="2" s="1"/>
  <c r="S6" i="2" a="1"/>
  <c r="S6" i="2" s="1"/>
  <c r="S7" i="2" a="1"/>
  <c r="S7" i="2" s="1"/>
  <c r="S8" i="2" a="1"/>
  <c r="S8" i="2" s="1"/>
  <c r="S9" i="2" a="1"/>
  <c r="S9" i="2" s="1"/>
  <c r="S10" i="2" a="1"/>
  <c r="S10" i="2" s="1"/>
  <c r="S11" i="2" a="1"/>
  <c r="S11" i="2" s="1"/>
  <c r="S12" i="2" a="1"/>
  <c r="S12" i="2"/>
  <c r="S13" i="2" a="1"/>
  <c r="S13" i="2" s="1"/>
  <c r="S14" i="2" a="1"/>
  <c r="S14" i="2" s="1"/>
  <c r="S15" i="2" a="1"/>
  <c r="S15" i="2" s="1"/>
  <c r="S16" i="2" a="1"/>
  <c r="S16" i="2" s="1"/>
  <c r="S17" i="2" a="1"/>
  <c r="S17" i="2" s="1"/>
  <c r="S18" i="2" a="1"/>
  <c r="S18" i="2" s="1"/>
  <c r="S19" i="2" a="1"/>
  <c r="S19" i="2" s="1"/>
  <c r="S20" i="2" a="1"/>
  <c r="S20" i="2"/>
  <c r="S21" i="2" a="1"/>
  <c r="S21" i="2" s="1"/>
  <c r="S22" i="2" a="1"/>
  <c r="S22" i="2" s="1"/>
  <c r="S23" i="2" a="1"/>
  <c r="S23" i="2" s="1"/>
  <c r="S24" i="2" a="1"/>
  <c r="S24" i="2" s="1"/>
  <c r="S25" i="2" a="1"/>
  <c r="S25" i="2" s="1"/>
  <c r="S26" i="2" a="1"/>
  <c r="S26" i="2" s="1"/>
  <c r="S27" i="2" a="1"/>
  <c r="S27" i="2" s="1"/>
  <c r="S28" i="2" a="1"/>
  <c r="S28" i="2"/>
  <c r="S29" i="2" a="1"/>
  <c r="S29" i="2" s="1"/>
  <c r="S30" i="2" a="1"/>
  <c r="S30" i="2" s="1"/>
  <c r="S31" i="2" a="1"/>
  <c r="S31" i="2" s="1"/>
  <c r="S32" i="2" a="1"/>
  <c r="S32" i="2" s="1"/>
  <c r="S33" i="2" a="1"/>
  <c r="S33" i="2" s="1"/>
  <c r="S34" i="2" a="1"/>
  <c r="S34" i="2" s="1"/>
  <c r="S35" i="2" a="1"/>
  <c r="S35" i="2" s="1"/>
  <c r="S36" i="2" a="1"/>
  <c r="S36" i="2"/>
  <c r="S37" i="2" a="1"/>
  <c r="S37" i="2" s="1"/>
  <c r="S38" i="2" a="1"/>
  <c r="S38" i="2" s="1"/>
  <c r="S39" i="2" a="1"/>
  <c r="S39" i="2" s="1"/>
  <c r="S40" i="2" a="1"/>
  <c r="S40" i="2" s="1"/>
  <c r="S41" i="2" a="1"/>
  <c r="S41" i="2" s="1"/>
  <c r="S42" i="2" a="1"/>
  <c r="S42" i="2" s="1"/>
  <c r="S43" i="2" a="1"/>
  <c r="S43" i="2" s="1"/>
  <c r="S44" i="2" a="1"/>
  <c r="S44" i="2"/>
  <c r="S45" i="2" a="1"/>
  <c r="S45" i="2" s="1"/>
  <c r="S46" i="2" a="1"/>
  <c r="S46" i="2" s="1"/>
  <c r="S47" i="2" a="1"/>
  <c r="S47" i="2" s="1"/>
  <c r="S48" i="2" a="1"/>
  <c r="S48" i="2" s="1"/>
  <c r="S49" i="2" a="1"/>
  <c r="S49" i="2" s="1"/>
  <c r="S50" i="2" a="1"/>
  <c r="S50" i="2" s="1"/>
  <c r="S51" i="2" a="1"/>
  <c r="S51" i="2" s="1"/>
  <c r="S52" i="2" a="1"/>
  <c r="S52" i="2"/>
  <c r="S53" i="2" a="1"/>
  <c r="S53" i="2" s="1"/>
  <c r="S54" i="2" a="1"/>
  <c r="S54" i="2" s="1"/>
  <c r="S55" i="2" a="1"/>
  <c r="S55" i="2" s="1"/>
  <c r="S56" i="2" a="1"/>
  <c r="S56" i="2" s="1"/>
  <c r="S57" i="2" a="1"/>
  <c r="S57" i="2" s="1"/>
  <c r="S58" i="2" a="1"/>
  <c r="S58" i="2" s="1"/>
  <c r="S59" i="2" a="1"/>
  <c r="S59" i="2" s="1"/>
  <c r="S60" i="2" a="1"/>
  <c r="S60" i="2"/>
  <c r="S61" i="2" a="1"/>
  <c r="S61" i="2" s="1"/>
  <c r="S62" i="2" a="1"/>
  <c r="S62" i="2" s="1"/>
  <c r="S63" i="2" a="1"/>
  <c r="S63" i="2" s="1"/>
  <c r="S64" i="2" a="1"/>
  <c r="S64" i="2" s="1"/>
  <c r="S65" i="2" a="1"/>
  <c r="S65" i="2" s="1"/>
  <c r="S66" i="2" a="1"/>
  <c r="S66" i="2" s="1"/>
  <c r="S67" i="2" a="1"/>
  <c r="S67" i="2" s="1"/>
  <c r="S68" i="2" a="1"/>
  <c r="S68" i="2"/>
  <c r="S69" i="2" a="1"/>
  <c r="S69" i="2" s="1"/>
  <c r="S70" i="2" a="1"/>
  <c r="S70" i="2" s="1"/>
  <c r="S71" i="2" a="1"/>
  <c r="S71" i="2" s="1"/>
  <c r="S72" i="2" a="1"/>
  <c r="S72" i="2" s="1"/>
  <c r="S73" i="2" a="1"/>
  <c r="S73" i="2" s="1"/>
  <c r="S74" i="2" a="1"/>
  <c r="S74" i="2" s="1"/>
  <c r="S75" i="2" a="1"/>
  <c r="S75" i="2" s="1"/>
  <c r="S76" i="2" a="1"/>
  <c r="S76" i="2"/>
  <c r="S77" i="2" a="1"/>
  <c r="S77" i="2" s="1"/>
  <c r="S78" i="2" a="1"/>
  <c r="S78" i="2" s="1"/>
  <c r="S79" i="2" a="1"/>
  <c r="S79" i="2" s="1"/>
  <c r="S80" i="2" a="1"/>
  <c r="S80" i="2" s="1"/>
  <c r="S81" i="2" a="1"/>
  <c r="S81" i="2" s="1"/>
  <c r="S82" i="2" a="1"/>
  <c r="S82" i="2" s="1"/>
  <c r="S83" i="2" a="1"/>
  <c r="S83" i="2" s="1"/>
  <c r="S84" i="2" a="1"/>
  <c r="S84" i="2"/>
  <c r="S85" i="2" a="1"/>
  <c r="S85" i="2" s="1"/>
  <c r="S86" i="2" a="1"/>
  <c r="S86" i="2" s="1"/>
  <c r="S87" i="2" a="1"/>
  <c r="S87" i="2" s="1"/>
  <c r="S88" i="2" a="1"/>
  <c r="S88" i="2" s="1"/>
  <c r="S89" i="2" a="1"/>
  <c r="S89" i="2" s="1"/>
  <c r="S90" i="2" a="1"/>
  <c r="S90" i="2" s="1"/>
  <c r="S91" i="2" a="1"/>
  <c r="S91" i="2" s="1"/>
  <c r="S92" i="2" a="1"/>
  <c r="S92" i="2"/>
  <c r="S93" i="2" a="1"/>
  <c r="S93" i="2" s="1"/>
  <c r="S94" i="2" a="1"/>
  <c r="S94" i="2" s="1"/>
  <c r="S95" i="2" a="1"/>
  <c r="S95" i="2" s="1"/>
  <c r="S96" i="2" a="1"/>
  <c r="S96" i="2" s="1"/>
  <c r="S97" i="2" a="1"/>
  <c r="S97" i="2" s="1"/>
  <c r="S98" i="2" a="1"/>
  <c r="S98" i="2" s="1"/>
  <c r="S99" i="2" a="1"/>
  <c r="S99" i="2" s="1"/>
  <c r="S100" i="2" a="1"/>
  <c r="S100" i="2"/>
  <c r="S101" i="2" a="1"/>
  <c r="S101" i="2" s="1"/>
  <c r="S102" i="2" a="1"/>
  <c r="S102" i="2" s="1"/>
  <c r="S103" i="2" a="1"/>
  <c r="S103" i="2" s="1"/>
  <c r="S104" i="2" a="1"/>
  <c r="S104" i="2" s="1"/>
  <c r="S105" i="2" a="1"/>
  <c r="S105" i="2" s="1"/>
  <c r="S106" i="2" a="1"/>
  <c r="S106" i="2" s="1"/>
  <c r="S107" i="2" a="1"/>
  <c r="S107" i="2" s="1"/>
  <c r="S108" i="2" a="1"/>
  <c r="S108" i="2"/>
  <c r="S109" i="2" a="1"/>
  <c r="S109" i="2" s="1"/>
  <c r="S110" i="2" a="1"/>
  <c r="S110" i="2" s="1"/>
  <c r="S111" i="2" a="1"/>
  <c r="S111" i="2" s="1"/>
  <c r="S112" i="2" a="1"/>
  <c r="S112" i="2" s="1"/>
  <c r="S113" i="2" a="1"/>
  <c r="S113" i="2" s="1"/>
  <c r="S114" i="2" a="1"/>
  <c r="S114" i="2" s="1"/>
  <c r="S115" i="2" a="1"/>
  <c r="S115" i="2" s="1"/>
  <c r="S116" i="2" a="1"/>
  <c r="S116" i="2"/>
  <c r="S117" i="2" a="1"/>
  <c r="S117" i="2" s="1"/>
  <c r="S118" i="2" a="1"/>
  <c r="S118" i="2" s="1"/>
  <c r="S119" i="2" a="1"/>
  <c r="S119" i="2" s="1"/>
  <c r="S120" i="2" a="1"/>
  <c r="S120" i="2" s="1"/>
  <c r="S121" i="2" a="1"/>
  <c r="S121" i="2" s="1"/>
  <c r="S122" i="2" a="1"/>
  <c r="S122" i="2" s="1"/>
  <c r="S123" i="2" a="1"/>
  <c r="S123" i="2" s="1"/>
  <c r="S124" i="2" a="1"/>
  <c r="S124" i="2"/>
  <c r="S125" i="2" a="1"/>
  <c r="S125" i="2" s="1"/>
  <c r="S126" i="2" a="1"/>
  <c r="S126" i="2" s="1"/>
  <c r="S127" i="2" a="1"/>
  <c r="S127" i="2" s="1"/>
  <c r="S128" i="2" a="1"/>
  <c r="S128" i="2" s="1"/>
  <c r="S129" i="2" a="1"/>
  <c r="S129" i="2" s="1"/>
  <c r="S130" i="2" a="1"/>
  <c r="S130" i="2" s="1"/>
  <c r="S131" i="2" a="1"/>
  <c r="S131" i="2" s="1"/>
  <c r="S132" i="2" a="1"/>
  <c r="S132" i="2"/>
  <c r="S133" i="2" a="1"/>
  <c r="S133" i="2" s="1"/>
  <c r="S134" i="2" a="1"/>
  <c r="S134" i="2" s="1"/>
  <c r="S135" i="2" a="1"/>
  <c r="S135" i="2" s="1"/>
  <c r="S136" i="2" a="1"/>
  <c r="S136" i="2" s="1"/>
  <c r="S137" i="2" a="1"/>
  <c r="S137" i="2" s="1"/>
  <c r="S138" i="2" a="1"/>
  <c r="S138" i="2" s="1"/>
  <c r="S139" i="2" a="1"/>
  <c r="S139" i="2" s="1"/>
  <c r="S140" i="2" a="1"/>
  <c r="S140" i="2"/>
  <c r="S141" i="2" a="1"/>
  <c r="S141" i="2" s="1"/>
  <c r="S142" i="2" a="1"/>
  <c r="S142" i="2" s="1"/>
  <c r="S143" i="2" a="1"/>
  <c r="S143" i="2" s="1"/>
  <c r="S144" i="2" a="1"/>
  <c r="S144" i="2" s="1"/>
  <c r="S145" i="2" a="1"/>
  <c r="S145" i="2" s="1"/>
  <c r="S146" i="2" a="1"/>
  <c r="S146" i="2" s="1"/>
  <c r="S147" i="2" a="1"/>
  <c r="S147" i="2" s="1"/>
  <c r="S148" i="2" a="1"/>
  <c r="S148" i="2"/>
  <c r="S149" i="2" a="1"/>
  <c r="S149" i="2" s="1"/>
  <c r="S150" i="2" a="1"/>
  <c r="S150" i="2" s="1"/>
  <c r="S151" i="2" a="1"/>
  <c r="S151" i="2" s="1"/>
  <c r="S152" i="2" a="1"/>
  <c r="S152" i="2" s="1"/>
  <c r="S153" i="2" a="1"/>
  <c r="S153" i="2" s="1"/>
  <c r="S154" i="2" a="1"/>
  <c r="S154" i="2" s="1"/>
  <c r="S155" i="2" a="1"/>
  <c r="S155" i="2" s="1"/>
  <c r="S156" i="2" a="1"/>
  <c r="S156" i="2"/>
  <c r="S157" i="2" a="1"/>
  <c r="S157" i="2" s="1"/>
  <c r="S158" i="2" a="1"/>
  <c r="S158" i="2" s="1"/>
  <c r="S159" i="2" a="1"/>
  <c r="S159" i="2" s="1"/>
  <c r="S160" i="2" a="1"/>
  <c r="S160" i="2" s="1"/>
  <c r="S161" i="2" a="1"/>
  <c r="S161" i="2" s="1"/>
  <c r="S162" i="2" a="1"/>
  <c r="S162" i="2" s="1"/>
  <c r="S163" i="2" a="1"/>
  <c r="S163" i="2" s="1"/>
  <c r="S164" i="2" a="1"/>
  <c r="S164" i="2"/>
  <c r="S165" i="2" a="1"/>
  <c r="S165" i="2" s="1"/>
  <c r="S166" i="2" a="1"/>
  <c r="S166" i="2" s="1"/>
  <c r="S167" i="2" a="1"/>
  <c r="S167" i="2" s="1"/>
  <c r="S168" i="2" a="1"/>
  <c r="S168" i="2" s="1"/>
  <c r="S169" i="2" a="1"/>
  <c r="S169" i="2" s="1"/>
  <c r="S170" i="2" a="1"/>
  <c r="S170" i="2" s="1"/>
  <c r="S171" i="2" a="1"/>
  <c r="S171" i="2" s="1"/>
  <c r="S172" i="2" a="1"/>
  <c r="S172" i="2"/>
  <c r="S173" i="2" a="1"/>
  <c r="S173" i="2" s="1"/>
  <c r="S174" i="2" a="1"/>
  <c r="S174" i="2" s="1"/>
  <c r="S175" i="2" a="1"/>
  <c r="S175" i="2" s="1"/>
  <c r="S176" i="2" a="1"/>
  <c r="S176" i="2" s="1"/>
  <c r="S177" i="2" a="1"/>
  <c r="S177" i="2" s="1"/>
  <c r="S178" i="2" a="1"/>
  <c r="S178" i="2" s="1"/>
  <c r="S179" i="2" a="1"/>
  <c r="S179" i="2" s="1"/>
  <c r="S180" i="2" a="1"/>
  <c r="S180" i="2"/>
  <c r="S181" i="2" a="1"/>
  <c r="S181" i="2" s="1"/>
  <c r="S182" i="2" a="1"/>
  <c r="S182" i="2" s="1"/>
  <c r="S183" i="2" a="1"/>
  <c r="S183" i="2" s="1"/>
  <c r="S184" i="2" a="1"/>
  <c r="S184" i="2" s="1"/>
  <c r="S185" i="2" a="1"/>
  <c r="S185" i="2" s="1"/>
  <c r="S186" i="2" a="1"/>
  <c r="S186" i="2" s="1"/>
  <c r="S187" i="2" a="1"/>
  <c r="S187" i="2" s="1"/>
  <c r="S188" i="2" a="1"/>
  <c r="S188" i="2"/>
  <c r="S189" i="2" a="1"/>
  <c r="S189" i="2" s="1"/>
  <c r="S190" i="2" a="1"/>
  <c r="S190" i="2" s="1"/>
  <c r="S191" i="2" a="1"/>
  <c r="S191" i="2" s="1"/>
  <c r="S192" i="2" a="1"/>
  <c r="S192" i="2" s="1"/>
  <c r="S193" i="2" a="1"/>
  <c r="S193" i="2" s="1"/>
  <c r="S194" i="2" a="1"/>
  <c r="S194" i="2" s="1"/>
  <c r="S195" i="2" a="1"/>
  <c r="S195" i="2" s="1"/>
  <c r="S196" i="2" a="1"/>
  <c r="S196" i="2"/>
  <c r="S197" i="2" a="1"/>
  <c r="S197" i="2" s="1"/>
  <c r="S198" i="2" a="1"/>
  <c r="S198" i="2" s="1"/>
  <c r="S199" i="2" a="1"/>
  <c r="S199" i="2" s="1"/>
  <c r="S200" i="2" a="1"/>
  <c r="S200" i="2" s="1"/>
  <c r="S201" i="2" a="1"/>
  <c r="S201" i="2" s="1"/>
  <c r="S202" i="2" a="1"/>
  <c r="S202" i="2" s="1"/>
  <c r="S203" i="2" a="1"/>
  <c r="S203" i="2" s="1"/>
  <c r="S204" i="2" a="1"/>
  <c r="S204" i="2"/>
  <c r="S205" i="2" a="1"/>
  <c r="S205" i="2" s="1"/>
  <c r="S206" i="2" a="1"/>
  <c r="S206" i="2" s="1"/>
  <c r="S207" i="2" a="1"/>
  <c r="S207" i="2" s="1"/>
  <c r="S208" i="2" a="1"/>
  <c r="S208" i="2" s="1"/>
  <c r="S209" i="2" a="1"/>
  <c r="S209" i="2" s="1"/>
  <c r="S210" i="2" a="1"/>
  <c r="S210" i="2" s="1"/>
  <c r="S211" i="2" a="1"/>
  <c r="S211" i="2" s="1"/>
  <c r="S212" i="2" a="1"/>
  <c r="S212" i="2"/>
  <c r="S213" i="2" a="1"/>
  <c r="S213" i="2" s="1"/>
  <c r="S214" i="2" a="1"/>
  <c r="S214" i="2" s="1"/>
  <c r="S215" i="2" a="1"/>
  <c r="S215" i="2" s="1"/>
  <c r="S216" i="2" a="1"/>
  <c r="S216" i="2" s="1"/>
  <c r="S217" i="2" a="1"/>
  <c r="S217" i="2" s="1"/>
  <c r="S218" i="2" a="1"/>
  <c r="S218" i="2" s="1"/>
  <c r="S219" i="2" a="1"/>
  <c r="S219" i="2" s="1"/>
  <c r="S220" i="2" a="1"/>
  <c r="S220" i="2"/>
  <c r="S221" i="2" a="1"/>
  <c r="S221" i="2" s="1"/>
  <c r="S222" i="2" a="1"/>
  <c r="S222" i="2" s="1"/>
  <c r="S223" i="2" a="1"/>
  <c r="S223" i="2" s="1"/>
  <c r="S224" i="2" a="1"/>
  <c r="S224" i="2" s="1"/>
  <c r="S225" i="2" a="1"/>
  <c r="S225" i="2" s="1"/>
  <c r="S226" i="2" a="1"/>
  <c r="S226" i="2" s="1"/>
  <c r="S227" i="2" a="1"/>
  <c r="S227" i="2" s="1"/>
  <c r="S228" i="2" a="1"/>
  <c r="S228" i="2"/>
  <c r="S229" i="2" a="1"/>
  <c r="S229" i="2" s="1"/>
  <c r="S230" i="2" a="1"/>
  <c r="S230" i="2" s="1"/>
  <c r="S231" i="2" a="1"/>
  <c r="S231" i="2" s="1"/>
  <c r="S232" i="2" a="1"/>
  <c r="S232" i="2" s="1"/>
  <c r="S233" i="2" a="1"/>
  <c r="S233" i="2" s="1"/>
  <c r="S234" i="2" a="1"/>
  <c r="S234" i="2" s="1"/>
  <c r="S235" i="2" a="1"/>
  <c r="S235" i="2" s="1"/>
  <c r="S236" i="2" a="1"/>
  <c r="S236" i="2"/>
  <c r="S237" i="2" a="1"/>
  <c r="S237" i="2" s="1"/>
  <c r="S238" i="2" a="1"/>
  <c r="S238" i="2" s="1"/>
  <c r="S239" i="2" a="1"/>
  <c r="S239" i="2" s="1"/>
  <c r="S240" i="2" a="1"/>
  <c r="S240" i="2" s="1"/>
  <c r="S241" i="2" a="1"/>
  <c r="S241" i="2" s="1"/>
  <c r="S242" i="2" a="1"/>
  <c r="S242" i="2" s="1"/>
  <c r="S243" i="2" a="1"/>
  <c r="S243" i="2" s="1"/>
  <c r="S244" i="2" a="1"/>
  <c r="S244" i="2"/>
  <c r="S245" i="2" a="1"/>
  <c r="S245" i="2" s="1"/>
  <c r="S246" i="2" a="1"/>
  <c r="S246" i="2" s="1"/>
  <c r="S247" i="2" a="1"/>
  <c r="S247" i="2" s="1"/>
  <c r="S248" i="2" a="1"/>
  <c r="S248" i="2" s="1"/>
  <c r="S249" i="2" a="1"/>
  <c r="S249" i="2" s="1"/>
  <c r="S250" i="2" a="1"/>
  <c r="S250" i="2" s="1"/>
  <c r="S251" i="2" a="1"/>
  <c r="S251" i="2" s="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R2" i="2"/>
  <c r="Q2" i="2"/>
  <c r="P2" i="2"/>
  <c r="U3" i="5"/>
  <c r="M3" i="5"/>
  <c r="Q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<sst xmlns="http://schemas.openxmlformats.org/spreadsheetml/2006/main" count="4921" uniqueCount="413">
  <si>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</si>
  <si>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</si>
  <si>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</si>
  <si>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</si>
  <si>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</si>
  <si>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</si>
  <si>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</si>
  <si>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</si>
  <si>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</si>
  <si>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</si>
  <si>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</si>
  <si>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</si>
  <si>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</si>
  <si>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</si>
  <si>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</si>
  <si>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</si>
  <si>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</si>
  <si>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</si>
  <si>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</si>
  <si>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</si>
  <si>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</si>
  <si>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</si>
  <si>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</si>
  <si>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</si>
  <si>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</si>
  <si>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</si>
  <si>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</si>
  <si>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</si>
  <si>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</si>
  <si>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</si>
  <si>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</si>
  <si>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</si>
  <si>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</si>
  <si>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</si>
  <si>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</si>
  <si>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</si>
  <si>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</si>
  <si>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</si>
  <si>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</si>
  <si>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</si>
  <si>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</si>
  <si>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</si>
  <si>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</si>
  <si>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</si>
  <si>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</si>
  <si>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</si>
  <si>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</si>
  <si>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</si>
  <si>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</si>
  <si>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</si>
  <si>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</si>
  <si>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</si>
  <si>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</si>
  <si>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</si>
  <si>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</si>
  <si>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</si>
  <si>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</si>
  <si>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</si>
  <si>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</si>
  <si>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</si>
  <si>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</si>
  <si>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</si>
  <si>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</si>
  <si>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</si>
  <si>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</si>
  <si>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</si>
  <si>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</si>
  <si>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</si>
  <si>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</si>
  <si>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</si>
  <si>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</si>
  <si>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</si>
  <si>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</si>
  <si>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</si>
  <si>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</si>
  <si>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</si>
  <si>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</si>
  <si>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</si>
  <si>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</si>
  <si>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</si>
  <si>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</si>
  <si>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</si>
  <si>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</si>
  <si>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</si>
  <si>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</si>
  <si>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</si>
  <si>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</si>
  <si>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</si>
  <si>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</si>
  <si>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</si>
  <si>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</si>
  <si>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</si>
  <si>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</si>
  <si>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</si>
  <si>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</si>
  <si>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</si>
  <si>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</si>
  <si>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</si>
  <si>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</si>
  <si>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</si>
  <si>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</si>
  <si>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</si>
  <si>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</si>
  <si>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</si>
  <si>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</si>
  <si>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</si>
  <si>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</si>
  <si>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</si>
  <si>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</si>
  <si>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</si>
  <si>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</si>
  <si>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</si>
  <si>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</si>
  <si>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</si>
  <si>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</si>
  <si>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</si>
  <si>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</si>
  <si>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</si>
  <si>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</si>
  <si>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</si>
  <si>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</si>
  <si>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</si>
  <si>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</si>
  <si>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</si>
  <si>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</si>
  <si>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</si>
  <si>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</si>
  <si>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</si>
  <si>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</si>
  <si>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</si>
  <si>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</si>
  <si>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</si>
  <si>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</si>
  <si>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</si>
  <si>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</si>
  <si>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</si>
  <si>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</si>
  <si>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</si>
  <si>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</si>
  <si>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</si>
  <si>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</si>
  <si>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</si>
  <si>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</si>
  <si>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</si>
  <si>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</si>
  <si>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</si>
  <si>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</si>
  <si>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</si>
  <si>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</si>
  <si>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</si>
  <si>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</si>
  <si>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</si>
  <si>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</si>
  <si>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</si>
  <si>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</si>
  <si>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</si>
  <si>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</si>
  <si>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</si>
  <si>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</si>
  <si>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</si>
  <si>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</si>
  <si>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</si>
  <si>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</si>
  <si>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</si>
  <si>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</si>
  <si>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</si>
  <si>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</si>
  <si>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</si>
  <si>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</si>
  <si>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</si>
  <si>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</si>
  <si>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</si>
  <si>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</si>
  <si>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</si>
  <si>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</si>
  <si>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</si>
  <si>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</si>
  <si>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</si>
  <si>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</si>
  <si>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</si>
  <si>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</si>
  <si>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</si>
  <si>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</si>
  <si>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</si>
  <si>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</si>
  <si>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</si>
  <si>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</si>
  <si>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</si>
  <si>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</si>
  <si>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</si>
  <si>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</si>
  <si>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</si>
  <si>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</si>
  <si>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</si>
  <si>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</si>
  <si>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</si>
  <si>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</si>
  <si>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</si>
  <si>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</si>
  <si>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</si>
  <si>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</si>
  <si>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</si>
  <si>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</si>
  <si>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</si>
  <si>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</si>
  <si>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</si>
  <si>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</si>
  <si>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</si>
  <si>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</si>
  <si>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</si>
  <si>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</si>
  <si>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</si>
  <si>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</si>
  <si>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</si>
  <si>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</si>
  <si>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</si>
  <si>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</si>
  <si>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</si>
  <si>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</si>
  <si>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</si>
  <si>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</si>
  <si>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</si>
  <si>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</si>
  <si>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</si>
  <si>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</si>
  <si>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</si>
  <si>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</si>
  <si>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</si>
  <si>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</si>
  <si>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</si>
  <si>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</si>
  <si>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</si>
  <si>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</si>
  <si>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</si>
  <si>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</si>
  <si>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</si>
  <si>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</si>
  <si>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</si>
  <si>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</si>
  <si>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</si>
  <si>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</si>
  <si>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</si>
  <si>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</si>
  <si>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</si>
  <si>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</si>
  <si>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</si>
  <si>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</si>
  <si>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</si>
  <si>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</si>
  <si>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</si>
  <si>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</si>
  <si>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</si>
  <si>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</si>
  <si>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</si>
  <si>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</si>
  <si>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</si>
  <si>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</si>
  <si>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</si>
  <si>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</si>
  <si>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</si>
  <si>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</si>
  <si>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</si>
  <si>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</si>
  <si>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</si>
  <si>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</si>
  <si>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</si>
  <si>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</si>
  <si>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</si>
  <si>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</si>
  <si>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</si>
  <si>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</si>
  <si>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</si>
  <si>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</si>
  <si>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</si>
  <si>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</si>
  <si>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</si>
  <si>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</si>
  <si>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</si>
  <si>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</si>
  <si>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</si>
  <si>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</si>
  <si>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</si>
  <si>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</si>
  <si>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</si>
  <si>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</si>
  <si>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</si>
  <si>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</si>
  <si>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</si>
  <si>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</si>
  <si>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</si>
  <si>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</si>
  <si>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</si>
  <si>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</si>
  <si>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</si>
  <si>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</si>
  <si>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</si>
  <si>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</si>
  <si>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</si>
  <si>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</si>
  <si>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</si>
  <si>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</si>
  <si>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</si>
  <si>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</si>
  <si>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</si>
  <si>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</si>
  <si>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</si>
  <si>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</si>
  <si>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</si>
  <si>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</si>
  <si>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</si>
  <si>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</si>
  <si>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</si>
  <si>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</si>
  <si>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</si>
  <si>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</si>
  <si>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</si>
  <si>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</si>
  <si>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</si>
  <si>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</si>
  <si>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</si>
  <si>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</si>
  <si>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</si>
  <si>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</si>
  <si>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</si>
  <si>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</si>
  <si>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</si>
  <si>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</si>
  <si>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</si>
  <si>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</si>
  <si>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</si>
  <si>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</si>
  <si>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</si>
  <si>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</si>
  <si>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</si>
  <si>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</si>
  <si>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</si>
  <si>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</si>
  <si>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</si>
  <si>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</si>
  <si>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</si>
  <si>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</si>
  <si>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</si>
  <si>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</si>
  <si>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</si>
  <si>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</si>
  <si>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</si>
  <si>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</si>
  <si>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</si>
  <si>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</si>
  <si>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</si>
  <si>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</si>
  <si>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</si>
  <si>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</si>
  <si>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</si>
  <si>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</si>
  <si>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</si>
  <si>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</si>
  <si>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</si>
  <si>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</si>
  <si>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</si>
  <si>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</si>
  <si>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</si>
  <si>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</si>
  <si>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</si>
  <si>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</si>
  <si>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</si>
  <si>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</si>
  <si>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</si>
  <si>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</si>
  <si>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</si>
  <si>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</si>
  <si>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</si>
  <si>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</si>
  <si>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</si>
  <si>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</si>
  <si>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</si>
  <si>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</si>
  <si>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</si>
  <si>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</si>
  <si>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</si>
  <si>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</si>
  <si>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</si>
  <si>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</si>
  <si>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</si>
  <si>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</si>
  <si>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</si>
  <si>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</si>
  <si>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</si>
  <si>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</si>
  <si>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</si>
  <si>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</si>
  <si>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</si>
  <si>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</si>
  <si>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</si>
  <si>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</si>
  <si>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</si>
  <si>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</si>
  <si>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</si>
  <si>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</si>
  <si>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Row Labels</t>
  </si>
  <si>
    <t>Grand Total</t>
  </si>
  <si>
    <t>Sum of Quantity</t>
  </si>
  <si>
    <t>Sum of Total_Amount</t>
  </si>
  <si>
    <t>Vlookup</t>
  </si>
  <si>
    <t>index match</t>
  </si>
  <si>
    <t>if</t>
  </si>
  <si>
    <t>ifs</t>
  </si>
  <si>
    <t>lookup values</t>
  </si>
  <si>
    <t>Column Labels</t>
  </si>
  <si>
    <t>2024</t>
  </si>
  <si>
    <t>2025</t>
  </si>
  <si>
    <t>Sum of Unit_Price</t>
  </si>
  <si>
    <t>Reliance 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</si>
</sst>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9" formatCode="&quot;₹&quot;\ #,##0"/>
  </numFmts>
  <fonts count="7" x14ac:knownFonts="1">
    <font>
      <sz val="11"/>
      <color theme="1"/>
      <name val="Aptos Narrow"/>
      <family val="2"/>
      <scheme val="minor"/>
    </font>
    <font>
      <b/>
      <sz val="11"/>
      <color theme="1"/>
      <name val="Aptos Narrow"/>
      <family val="2"/>
      <scheme val="minor"/>
    </font>
    <font>
      <b/>
      <sz val="11"/>
      <color theme="1"/>
      <name val="Aptos Narrow"/>
      <scheme val="minor"/>
    </font>
    <font>
      <sz val="11"/>
      <color theme="1"/>
      <name val="Aptos Narrow"/>
      <scheme val="minor"/>
    </font>
    <font>
      <sz val="11"/>
      <color theme="7" tint="0.59999389629810485"/>
      <name val="Aptos Narrow"/>
      <family val="2"/>
      <scheme val="minor"/>
    </font>
    <font>
      <sz val="24"/>
      <color theme="7" tint="0.59999389629810485"/>
      <name val="Aptos Narrow"/>
      <family val="2"/>
      <scheme val="minor"/>
    </font>
    <font>
      <sz val="22"/>
      <color theme="4" tint="0.59999389629810485"/>
      <name val="Aptos Narrow"/>
      <family val="2"/>
      <scheme val="minor"/>
    </font>
  </fonts>
  <fills count="7">
    <fill>
      <patternFill patternType="none"/>
    </fill>
    <fill>
      <patternFill patternType="gray125"/>
    </fill>
    <fill>
      <patternFill patternType="solid">
        <fgColor theme="6" tint="0.39997558519241921"/>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theme="1" tint="0.249977111117893"/>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2" fillId="0" borderId="0" xfId="0" applyFont="1"/>
    <xf numFmtId="0" fontId="3" fillId="0" borderId="0" xfId="0" applyFont="1"/>
    <xf numFmtId="164" fontId="3" fillId="0" borderId="0" xfId="0" applyNumberFormat="1" applyFont="1"/>
    <xf numFmtId="14" fontId="2" fillId="0" borderId="0" xfId="0" applyNumberFormat="1" applyFont="1"/>
    <xf numFmtId="14" fontId="3" fillId="0" borderId="0" xfId="0" applyNumberFormat="1" applyFont="1"/>
    <xf numFmtId="14" fontId="0" fillId="0" borderId="0" xfId="0" applyNumberFormat="1"/>
    <xf numFmtId="49" fontId="2" fillId="0" borderId="0" xfId="0" applyNumberFormat="1" applyFont="1"/>
    <xf numFmtId="49" fontId="3" fillId="0" borderId="0" xfId="0" applyNumberFormat="1" applyFont="1"/>
    <xf numFmtId="49" fontId="0" fillId="0" borderId="0" xfId="0" applyNumberFormat="1"/>
    <xf numFmtId="2" fontId="2" fillId="0" borderId="0" xfId="0" applyNumberFormat="1" applyFont="1"/>
    <xf numFmtId="2" fontId="3" fillId="0" borderId="0" xfId="0" applyNumberFormat="1" applyFont="1"/>
    <xf numFmtId="2" fontId="0" fillId="0" borderId="0" xfId="0" applyNumberFormat="1"/>
    <xf numFmtId="1" fontId="2" fillId="0" borderId="0" xfId="0" applyNumberFormat="1" applyFont="1"/>
    <xf numFmtId="1" fontId="3" fillId="0" borderId="0" xfId="0" applyNumberFormat="1"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49" fontId="1" fillId="2" borderId="0" xfId="0" applyNumberFormat="1" applyFont="1" applyFill="1"/>
    <xf numFmtId="0" fontId="2" fillId="3" borderId="0" xfId="0" applyFont="1" applyFill="1"/>
    <xf numFmtId="0" fontId="0" fillId="4" borderId="0" xfId="0" applyFill="1"/>
    <xf numFmtId="0" fontId="6" fillId="6" borderId="0" xfId="0" applyFont="1" applyFill="1" applyBorder="1" applyAlignment="1">
      <alignment horizontal="center" vertical="center"/>
    </xf>
    <xf numFmtId="169" fontId="0" fillId="0" borderId="0" xfId="0" applyNumberFormat="1"/>
    <xf numFmtId="169" fontId="0" fillId="0" borderId="0" xfId="0" pivotButton="1" applyNumberFormat="1"/>
    <xf numFmtId="169" fontId="0" fillId="0" borderId="0" xfId="0" applyNumberFormat="1" applyAlignment="1">
      <alignment horizontal="left"/>
    </xf>
    <xf numFmtId="169" fontId="0" fillId="0" borderId="0" xfId="0" applyNumberFormat="1" applyAlignment="1">
      <alignment horizontal="left" indent="1"/>
    </xf>
    <xf numFmtId="169" fontId="6" fillId="6" borderId="0" xfId="0" applyNumberFormat="1" applyFont="1" applyFill="1" applyBorder="1" applyAlignment="1">
      <alignment horizontal="center" vertical="center"/>
    </xf>
    <xf numFmtId="49" fontId="5" fillId="5" borderId="1" xfId="0" applyNumberFormat="1" applyFont="1" applyFill="1" applyBorder="1" applyAlignment="1">
      <alignment horizontal="center" vertical="center"/>
    </xf>
    <xf numFmtId="49" fontId="4" fillId="5" borderId="1" xfId="0" applyNumberFormat="1" applyFont="1" applyFill="1" applyBorder="1" applyAlignment="1">
      <alignment horizontal="center" vertical="center"/>
    </xf>
  </cellXfs>
  <cellStyles count="1">
    <cellStyle name="Normal" xfId="0" builtinId="0"/>
  </cellStyles>
  <dxfs count="314">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9" formatCode="&quot;₹&quot;\ #,##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9" formatCode="&quot;₹&quot;\ #,##0"/>
    </dxf>
    <dxf>
      <numFmt numFmtId="168" formatCode="&quot;₹&quot;\ #,##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167"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quot;₹&quot;\ #,##0"/>
    </dxf>
    <dxf>
      <numFmt numFmtId="168" formatCode="&quot;₹&quot;\ #,##0.0"/>
    </dxf>
    <dxf>
      <numFmt numFmtId="167" formatCode="&quot;₹&quot;\ #,##0.00"/>
    </dxf>
    <dxf>
      <numFmt numFmtId="168" formatCode="&quot;₹&quot;\ #,##0.0"/>
    </dxf>
    <dxf>
      <numFmt numFmtId="169" formatCode="&quot;₹&quot;\ #,##0"/>
    </dxf>
    <dxf>
      <numFmt numFmtId="167" formatCode="&quot;₹&quot;\ #,##0.00"/>
    </dxf>
    <dxf>
      <numFmt numFmtId="0" formatCode="General"/>
    </dxf>
    <dxf>
      <font>
        <b/>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30" formatCode="@"/>
    </dxf>
    <dxf>
      <font>
        <b val="0"/>
        <i val="0"/>
        <strike val="0"/>
        <condense val="0"/>
        <extend val="0"/>
        <outline val="0"/>
        <shadow val="0"/>
        <u val="none"/>
        <vertAlign val="baseline"/>
        <sz val="11"/>
        <color theme="1"/>
        <name val="Aptos Narrow"/>
        <scheme val="minor"/>
      </font>
      <numFmt numFmtId="2" formatCode="0.00"/>
    </dxf>
    <dxf>
      <font>
        <b val="0"/>
        <i val="0"/>
        <strike val="0"/>
        <condense val="0"/>
        <extend val="0"/>
        <outline val="0"/>
        <shadow val="0"/>
        <u val="none"/>
        <vertAlign val="baseline"/>
        <sz val="11"/>
        <color theme="1"/>
        <name val="Aptos Narrow"/>
        <scheme val="minor"/>
      </font>
      <numFmt numFmtId="164" formatCode="yyyy\-mm\-dd"/>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2" formatCode="0.00"/>
    </dxf>
    <dxf>
      <font>
        <b val="0"/>
        <i val="0"/>
        <strike val="0"/>
        <condense val="0"/>
        <extend val="0"/>
        <outline val="0"/>
        <shadow val="0"/>
        <u val="none"/>
        <vertAlign val="baseline"/>
        <sz val="11"/>
        <color theme="1"/>
        <name val="Aptos Narrow"/>
        <scheme val="minor"/>
      </font>
      <numFmt numFmtId="1" formatCode="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30" formatCode="@"/>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numFmt numFmtId="19" formatCode="dd/mm/yyyy"/>
    </dxf>
    <dxf>
      <font>
        <b val="0"/>
        <i val="0"/>
        <strike val="0"/>
        <condense val="0"/>
        <extend val="0"/>
        <outline val="0"/>
        <shadow val="0"/>
        <u val="none"/>
        <vertAlign val="baseline"/>
        <sz val="11"/>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[mohit_final_PR.xlsx]charts!PivotTable2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charts!$B$1:$B$2</c:f>
              <c:strCache>
                <c:ptCount val="1"/>
                <c:pt idx="0">
                  <c:v>Basic</c:v>
                </c:pt>
              </c:strCache>
            </c:strRef>
          </c:tx>
          <c:spPr>
            <a:solidFill>
              <a:schemeClr val="accent1"/>
            </a:solidFill>
            <a:ln>
              <a:noFill/>
            </a:ln>
            <a:effectLst/>
          </c:spPr>
          <c:invertIfNegative val="0"/>
          <c:cat>
            <c:multiLvlStrRef>
              <c:f>charts!$A$3:$A$12</c:f>
              <c:multiLvlStrCache>
                <c:ptCount val="6"/>
                <c:lvl>
                  <c:pt idx="0">
                    <c:v>2024</c:v>
                  </c:pt>
                  <c:pt idx="1">
                    <c:v>2025</c:v>
                  </c:pt>
                  <c:pt idx="2">
                    <c:v>2024</c:v>
                  </c:pt>
                  <c:pt idx="3">
                    <c:v>2025</c:v>
                  </c:pt>
                  <c:pt idx="4">
                    <c:v>2024</c:v>
                  </c:pt>
                  <c:pt idx="5">
                    <c:v>2025</c:v>
                  </c:pt>
                </c:lvl>
                <c:lvl>
                  <c:pt idx="0">
                    <c:v>Appliances</c:v>
                  </c:pt>
                  <c:pt idx="2">
                    <c:v>Electronics</c:v>
                  </c:pt>
                  <c:pt idx="4">
                    <c:v>Furniture</c:v>
                  </c:pt>
                </c:lvl>
              </c:multiLvlStrCache>
            </c:multiLvlStrRef>
          </c:cat>
          <c:val>
            <c:numRef>
              <c:f>charts!$B$3:$B$12</c:f>
              <c:numCache>
                <c:formatCode>"₹"\ #,##0</c:formatCode>
                <c:ptCount val="6"/>
                <c:pt idx="0">
                  <c:v>1759.75</c:v>
                </c:pt>
                <c:pt idx="1">
                  <c:v>1059.8499999999999</c:v>
                </c:pt>
                <c:pt idx="2">
                  <c:v>28679.339999999997</c:v>
                </c:pt>
                <c:pt idx="3">
                  <c:v>11429.719999999998</c:v>
                </c:pt>
                <c:pt idx="4">
                  <c:v>13549.36</c:v>
                </c:pt>
                <c:pt idx="5">
                  <c:v>5699.79</c:v>
                </c:pt>
              </c:numCache>
            </c:numRef>
          </c:val>
          <c:extLst>
            <c:ext xmlns:c16="http://schemas.microsoft.com/office/drawing/2014/chart" uri="{C3380CC4-5D6E-409C-BE32-E72D297353CC}">
              <c16:uniqueId val="{00000000-8543-44BD-B8E9-2C29EA1F3477}"/>
            </c:ext>
          </c:extLst>
        </c:ser>
        <c:dLbls>
          <c:showLegendKey val="0"/>
          <c:showVal val="0"/>
          <c:showCatName val="0"/>
          <c:showSerName val="0"/>
          <c:showPercent val="0"/>
          <c:showBubbleSize val="0"/>
        </c:dLbls>
        <c:gapWidth val="219"/>
        <c:overlap val="-27"/>
        <c:axId val="680294720"/>
        <c:axId val="680292800"/>
      </c:barChart>
      <c:catAx>
        <c:axId val="68029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92800"/>
        <c:crosses val="autoZero"/>
        <c:auto val="1"/>
        <c:lblAlgn val="ctr"/>
        <c:lblOffset val="100"/>
        <c:noMultiLvlLbl val="0"/>
      </c:catAx>
      <c:valAx>
        <c:axId val="680292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9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[mohit_final_PR.xlsx]charts!PivotTable2</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charts!$B$1:$B$2</c:f>
              <c:strCache>
                <c:ptCount val="1"/>
                <c:pt idx="0">
                  <c:v>Basic</c:v>
                </c:pt>
              </c:strCache>
            </c:strRef>
          </c:tx>
          <c:spPr>
            <a:ln w="28575" cap="rnd">
              <a:solidFill>
                <a:schemeClr val="accent1"/>
              </a:solidFill>
              <a:round/>
            </a:ln>
            <a:effectLst/>
          </c:spPr>
          <c:marker>
            <c:symbol val="none"/>
          </c:marker>
          <c:cat>
            <c:multiLvlStrRef>
              <c:f>charts!$A$3:$A$12</c:f>
              <c:multiLvlStrCache>
                <c:ptCount val="6"/>
                <c:lvl>
                  <c:pt idx="0">
                    <c:v>2024</c:v>
                  </c:pt>
                  <c:pt idx="1">
                    <c:v>2025</c:v>
                  </c:pt>
                  <c:pt idx="2">
                    <c:v>2024</c:v>
                  </c:pt>
                  <c:pt idx="3">
                    <c:v>2025</c:v>
                  </c:pt>
                  <c:pt idx="4">
                    <c:v>2024</c:v>
                  </c:pt>
                  <c:pt idx="5">
                    <c:v>2025</c:v>
                  </c:pt>
                </c:lvl>
                <c:lvl>
                  <c:pt idx="0">
                    <c:v>Appliances</c:v>
                  </c:pt>
                  <c:pt idx="2">
                    <c:v>Electronics</c:v>
                  </c:pt>
                  <c:pt idx="4">
                    <c:v>Furniture</c:v>
                  </c:pt>
                </c:lvl>
              </c:multiLvlStrCache>
            </c:multiLvlStrRef>
          </c:cat>
          <c:val>
            <c:numRef>
              <c:f>charts!$B$3:$B$12</c:f>
              <c:numCache>
                <c:formatCode>"₹"\ #,##0</c:formatCode>
                <c:ptCount val="6"/>
                <c:pt idx="0">
                  <c:v>1759.75</c:v>
                </c:pt>
                <c:pt idx="1">
                  <c:v>1059.8499999999999</c:v>
                </c:pt>
                <c:pt idx="2">
                  <c:v>28679.339999999997</c:v>
                </c:pt>
                <c:pt idx="3">
                  <c:v>11429.719999999998</c:v>
                </c:pt>
                <c:pt idx="4">
                  <c:v>13549.36</c:v>
                </c:pt>
                <c:pt idx="5">
                  <c:v>5699.79</c:v>
                </c:pt>
              </c:numCache>
            </c:numRef>
          </c:val>
          <c:smooth val="0"/>
          <c:extLst>
            <c:ext xmlns:c16="http://schemas.microsoft.com/office/drawing/2014/chart" uri="{C3380CC4-5D6E-409C-BE32-E72D297353CC}">
              <c16:uniqueId val="{00000000-EE62-49D9-BF92-0540B53F59E4}"/>
            </c:ext>
          </c:extLst>
        </c:ser>
        <c:dLbls>
          <c:showLegendKey val="0"/>
          <c:showVal val="0"/>
          <c:showCatName val="0"/>
          <c:showSerName val="0"/>
          <c:showPercent val="0"/>
          <c:showBubbleSize val="0"/>
        </c:dLbls>
        <c:smooth val="0"/>
        <c:axId val="797840864"/>
        <c:axId val="797836064"/>
      </c:lineChart>
      <c:catAx>
        <c:axId val="7978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36064"/>
        <c:crosses val="autoZero"/>
        <c:auto val="1"/>
        <c:lblAlgn val="ctr"/>
        <c:lblOffset val="100"/>
        <c:noMultiLvlLbl val="0"/>
      </c:catAx>
      <c:valAx>
        <c:axId val="797836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84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[mohit_final_PR.xlsx]charts!PivotTable2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charts!$B$1:$B$2</c:f>
              <c:strCache>
                <c:ptCount val="1"/>
                <c:pt idx="0">
                  <c:v>Basic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multiLvlStrRef>
              <c:f>charts!$A$3:$A$12</c:f>
              <c:multiLvlStrCache>
                <c:ptCount val="6"/>
                <c:lvl>
                  <c:pt idx="0">
                    <c:v>2024</c:v>
                  </c:pt>
                  <c:pt idx="1">
                    <c:v>2025</c:v>
                  </c:pt>
                  <c:pt idx="2">
                    <c:v>2024</c:v>
                  </c:pt>
                  <c:pt idx="3">
                    <c:v>2025</c:v>
                  </c:pt>
                  <c:pt idx="4">
                    <c:v>2024</c:v>
                  </c:pt>
                  <c:pt idx="5">
                    <c:v>2025</c:v>
                  </c:pt>
                </c:lvl>
                <c:lvl>
                  <c:pt idx="0">
                    <c:v>Appliances</c:v>
                  </c:pt>
                  <c:pt idx="2">
                    <c:v>Electronics</c:v>
                  </c:pt>
                  <c:pt idx="4">
                    <c:v>Furniture</c:v>
                  </c:pt>
                </c:lvl>
              </c:multiLvlStrCache>
            </c:multiLvlStrRef>
          </c:cat>
          <c:val>
            <c:numRef>
              <c:f>charts!$B$3:$B$12</c:f>
              <c:numCache>
                <c:formatCode>"₹"\ #,##0</c:formatCode>
                <c:ptCount val="6"/>
                <c:pt idx="0">
                  <c:v>1759.75</c:v>
                </c:pt>
                <c:pt idx="1">
                  <c:v>1059.8499999999999</c:v>
                </c:pt>
                <c:pt idx="2">
                  <c:v>28679.339999999997</c:v>
                </c:pt>
                <c:pt idx="3">
                  <c:v>11429.719999999998</c:v>
                </c:pt>
                <c:pt idx="4">
                  <c:v>13549.36</c:v>
                </c:pt>
                <c:pt idx="5">
                  <c:v>5699.79</c:v>
                </c:pt>
              </c:numCache>
            </c:numRef>
          </c:val>
          <c:extLst>
            <c:ext xmlns:c16="http://schemas.microsoft.com/office/drawing/2014/chart" uri="{C3380CC4-5D6E-409C-BE32-E72D297353CC}">
              <c16:uniqueId val="{00000000-7FFA-486B-814A-D2D7DAC608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[mohit_final_PR.xlsx]charts!PivotTable2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Categories wise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charts!$B$1:$B$2</c:f>
              <c:strCache>
                <c:ptCount val="1"/>
                <c:pt idx="0">
                  <c:v>Basic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charts!$A$3:$A$12</c:f>
              <c:multiLvlStrCache>
                <c:ptCount val="6"/>
                <c:lvl>
                  <c:pt idx="0">
                    <c:v>2024</c:v>
                  </c:pt>
                  <c:pt idx="1">
                    <c:v>2025</c:v>
                  </c:pt>
                  <c:pt idx="2">
                    <c:v>2024</c:v>
                  </c:pt>
                  <c:pt idx="3">
                    <c:v>2025</c:v>
                  </c:pt>
                  <c:pt idx="4">
                    <c:v>2024</c:v>
                  </c:pt>
                  <c:pt idx="5">
                    <c:v>2025</c:v>
                  </c:pt>
                </c:lvl>
                <c:lvl>
                  <c:pt idx="0">
                    <c:v>Appliances</c:v>
                  </c:pt>
                  <c:pt idx="2">
                    <c:v>Electronics</c:v>
                  </c:pt>
                  <c:pt idx="4">
                    <c:v>Furniture</c:v>
                  </c:pt>
                </c:lvl>
              </c:multiLvlStrCache>
            </c:multiLvlStrRef>
          </c:cat>
          <c:val>
            <c:numRef>
              <c:f>charts!$B$3:$B$12</c:f>
              <c:numCache>
                <c:formatCode>"₹"\ #,##0</c:formatCode>
                <c:ptCount val="6"/>
                <c:pt idx="0">
                  <c:v>1759.75</c:v>
                </c:pt>
                <c:pt idx="1">
                  <c:v>1059.8499999999999</c:v>
                </c:pt>
                <c:pt idx="2">
                  <c:v>28679.339999999997</c:v>
                </c:pt>
                <c:pt idx="3">
                  <c:v>11429.719999999998</c:v>
                </c:pt>
                <c:pt idx="4">
                  <c:v>13549.36</c:v>
                </c:pt>
                <c:pt idx="5">
                  <c:v>5699.79</c:v>
                </c:pt>
              </c:numCache>
            </c:numRef>
          </c:val>
          <c:extLst>
            <c:ext xmlns:c16="http://schemas.microsoft.com/office/drawing/2014/chart" uri="{C3380CC4-5D6E-409C-BE32-E72D297353CC}">
              <c16:uniqueId val="{00000000-D29C-4969-A94C-367ACC62D6B9}"/>
            </c:ext>
          </c:extLst>
        </c:ser>
        <c:dLbls>
          <c:showLegendKey val="0"/>
          <c:showVal val="0"/>
          <c:showCatName val="0"/>
          <c:showSerName val="0"/>
          <c:showPercent val="0"/>
          <c:showBubbleSize val="0"/>
        </c:dLbls>
        <c:gapWidth val="100"/>
        <c:overlap val="-24"/>
        <c:axId val="680294720"/>
        <c:axId val="680292800"/>
      </c:barChart>
      <c:catAx>
        <c:axId val="6802947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292800"/>
        <c:crosses val="autoZero"/>
        <c:auto val="1"/>
        <c:lblAlgn val="ctr"/>
        <c:lblOffset val="100"/>
        <c:noMultiLvlLbl val="0"/>
      </c:catAx>
      <c:valAx>
        <c:axId val="68029280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294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[mohit_final_PR.xlsx]charts!PivotTable2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Wise Sales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charts!$B$1:$B$2</c:f>
              <c:strCache>
                <c:ptCount val="1"/>
                <c:pt idx="0">
                  <c:v>Basic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charts!$A$3:$A$12</c:f>
              <c:multiLvlStrCache>
                <c:ptCount val="6"/>
                <c:lvl>
                  <c:pt idx="0">
                    <c:v>2024</c:v>
                  </c:pt>
                  <c:pt idx="1">
                    <c:v>2025</c:v>
                  </c:pt>
                  <c:pt idx="2">
                    <c:v>2024</c:v>
                  </c:pt>
                  <c:pt idx="3">
                    <c:v>2025</c:v>
                  </c:pt>
                  <c:pt idx="4">
                    <c:v>2024</c:v>
                  </c:pt>
                  <c:pt idx="5">
                    <c:v>2025</c:v>
                  </c:pt>
                </c:lvl>
                <c:lvl>
                  <c:pt idx="0">
                    <c:v>Appliances</c:v>
                  </c:pt>
                  <c:pt idx="2">
                    <c:v>Electronics</c:v>
                  </c:pt>
                  <c:pt idx="4">
                    <c:v>Furniture</c:v>
                  </c:pt>
                </c:lvl>
              </c:multiLvlStrCache>
            </c:multiLvlStrRef>
          </c:cat>
          <c:val>
            <c:numRef>
              <c:f>charts!$B$3:$B$12</c:f>
              <c:numCache>
                <c:formatCode>"₹"\ #,##0</c:formatCode>
                <c:ptCount val="6"/>
                <c:pt idx="0">
                  <c:v>1759.75</c:v>
                </c:pt>
                <c:pt idx="1">
                  <c:v>1059.8499999999999</c:v>
                </c:pt>
                <c:pt idx="2">
                  <c:v>28679.339999999997</c:v>
                </c:pt>
                <c:pt idx="3">
                  <c:v>11429.719999999998</c:v>
                </c:pt>
                <c:pt idx="4">
                  <c:v>13549.36</c:v>
                </c:pt>
                <c:pt idx="5">
                  <c:v>5699.79</c:v>
                </c:pt>
              </c:numCache>
            </c:numRef>
          </c:val>
          <c:smooth val="0"/>
          <c:extLst>
            <c:ext xmlns:c16="http://schemas.microsoft.com/office/drawing/2014/chart" uri="{C3380CC4-5D6E-409C-BE32-E72D297353CC}">
              <c16:uniqueId val="{00000000-9B3D-4B52-9A95-57B4F6FAA58A}"/>
            </c:ext>
          </c:extLst>
        </c:ser>
        <c:dLbls>
          <c:showLegendKey val="0"/>
          <c:showVal val="0"/>
          <c:showCatName val="0"/>
          <c:showSerName val="0"/>
          <c:showPercent val="0"/>
          <c:showBubbleSize val="0"/>
        </c:dLbls>
        <c:marker val="1"/>
        <c:smooth val="0"/>
        <c:axId val="797840864"/>
        <c:axId val="797836064"/>
      </c:lineChart>
      <c:catAx>
        <c:axId val="797840864"/>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836064"/>
        <c:crosses val="autoZero"/>
        <c:auto val="1"/>
        <c:lblAlgn val="ctr"/>
        <c:lblOffset val="100"/>
        <c:noMultiLvlLbl val="0"/>
      </c:catAx>
      <c:valAx>
        <c:axId val="797836064"/>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84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[mohit_final_PR.xlsx]charts!PivotTable2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Distrbution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pivotFmt>
      <c:pivotFmt>
        <c:idx val="34"/>
      </c:pivotFmt>
      <c:pivotFmt>
        <c:idx val="35"/>
      </c:pivotFmt>
      <c:pivotFmt>
        <c:idx val="36"/>
      </c:pivotFmt>
      <c:pivotFmt>
        <c:idx val="37"/>
      </c:pivotFmt>
      <c:pivotFmt>
        <c:idx val="38"/>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pivotFmt>
      <c:pivotFmt>
        <c:idx val="45"/>
      </c:pivotFmt>
    </c:pivotFmts>
    <c:plotArea>
      <c:layout/>
      <c:pieChart>
        <c:varyColors val="1"/>
        <c:ser>
          <c:idx val="0"/>
          <c:order val="0"/>
          <c:tx>
            <c:strRef>
              <c:f>charts!$B$1:$B$2</c:f>
              <c:strCache>
                <c:ptCount val="1"/>
                <c:pt idx="0">
                  <c:v>Basic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05A-42AE-B655-4EF58CFC475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05A-42AE-B655-4EF58CFC475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05A-42AE-B655-4EF58CFC475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05A-42AE-B655-4EF58CFC475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05A-42AE-B655-4EF58CFC475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05A-42AE-B655-4EF58CFC47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charts!$A$3:$A$12</c:f>
              <c:multiLvlStrCache>
                <c:ptCount val="6"/>
                <c:lvl>
                  <c:pt idx="0">
                    <c:v>2024</c:v>
                  </c:pt>
                  <c:pt idx="1">
                    <c:v>2025</c:v>
                  </c:pt>
                  <c:pt idx="2">
                    <c:v>2024</c:v>
                  </c:pt>
                  <c:pt idx="3">
                    <c:v>2025</c:v>
                  </c:pt>
                  <c:pt idx="4">
                    <c:v>2024</c:v>
                  </c:pt>
                  <c:pt idx="5">
                    <c:v>2025</c:v>
                  </c:pt>
                </c:lvl>
                <c:lvl>
                  <c:pt idx="0">
                    <c:v>Appliances</c:v>
                  </c:pt>
                  <c:pt idx="2">
                    <c:v>Electronics</c:v>
                  </c:pt>
                  <c:pt idx="4">
                    <c:v>Furniture</c:v>
                  </c:pt>
                </c:lvl>
              </c:multiLvlStrCache>
            </c:multiLvlStrRef>
          </c:cat>
          <c:val>
            <c:numRef>
              <c:f>charts!$B$3:$B$12</c:f>
              <c:numCache>
                <c:formatCode>"₹"\ #,##0</c:formatCode>
                <c:ptCount val="6"/>
                <c:pt idx="0">
                  <c:v>1759.75</c:v>
                </c:pt>
                <c:pt idx="1">
                  <c:v>1059.8499999999999</c:v>
                </c:pt>
                <c:pt idx="2">
                  <c:v>28679.339999999997</c:v>
                </c:pt>
                <c:pt idx="3">
                  <c:v>11429.719999999998</c:v>
                </c:pt>
                <c:pt idx="4">
                  <c:v>13549.36</c:v>
                </c:pt>
                <c:pt idx="5">
                  <c:v>5699.79</c:v>
                </c:pt>
              </c:numCache>
            </c:numRef>
          </c:val>
          <c:extLst>
            <c:ext xmlns:c16="http://schemas.microsoft.com/office/drawing/2014/chart" uri="{C3380CC4-5D6E-409C-BE32-E72D297353CC}">
              <c16:uniqueId val="{0000000C-605A-42AE-B655-4EF58CFC475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581025</xdr:colOff>
      <xdr:row>16</xdr:row>
      <xdr:rowOff>95250</xdr:rowOff>
    </xdr:from>
    <xdr:to>
      <xdr:col>6</xdr:col>
      <xdr:colOff>104775</xdr:colOff>
      <xdr:row>30</xdr:row>
      <xdr:rowOff>171450</xdr:rowOff>
    </xdr:to>
    <xdr:graphicFrame macro="">
      <xdr:nvGraphicFramePr>
        <xdr:cNvPr id="2" name="Chart 1">
          <a:extLst>
            <a:ext uri="{FF2B5EF4-FFF2-40B4-BE49-F238E27FC236}">
              <a16:creationId xmlns:a16="http://schemas.microsoft.com/office/drawing/2014/main" id="{66709B68-1615-7535-80E9-2069A6452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285750</xdr:colOff>
      <xdr:row>12</xdr:row>
      <xdr:rowOff>47625</xdr:rowOff>
    </xdr:from>
    <xdr:to>
      <xdr:col>14</xdr:col>
      <xdr:colOff>590550</xdr:colOff>
      <xdr:row>26</xdr:row>
      <xdr:rowOff>123825</xdr:rowOff>
    </xdr:to>
    <xdr:graphicFrame macro="">
      <xdr:nvGraphicFramePr>
        <xdr:cNvPr id="3" name="Chart 2">
          <a:extLst>
            <a:ext uri="{FF2B5EF4-FFF2-40B4-BE49-F238E27FC236}">
              <a16:creationId xmlns:a16="http://schemas.microsoft.com/office/drawing/2014/main" id="{872DBA81-F23E-16AB-AFD9-69B9FCBF2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47625</xdr:colOff>
      <xdr:row>28</xdr:row>
      <xdr:rowOff>47625</xdr:rowOff>
    </xdr:from>
    <xdr:to>
      <xdr:col>15</xdr:col>
      <xdr:colOff>352425</xdr:colOff>
      <xdr:row>42</xdr:row>
      <xdr:rowOff>123825</xdr:rowOff>
    </xdr:to>
    <xdr:graphicFrame macro="">
      <xdr:nvGraphicFramePr>
        <xdr:cNvPr id="4" name="Chart 3">
          <a:extLst>
            <a:ext uri="{FF2B5EF4-FFF2-40B4-BE49-F238E27FC236}">
              <a16:creationId xmlns:a16="http://schemas.microsoft.com/office/drawing/2014/main" id="{A750F83D-E5F3-BD48-AA83-99BF7D91BE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114300</xdr:colOff>
      <xdr:row>0</xdr:row>
      <xdr:rowOff>0</xdr:rowOff>
    </xdr:from>
    <xdr:to>
      <xdr:col>11</xdr:col>
      <xdr:colOff>114300</xdr:colOff>
      <xdr:row>14</xdr:row>
      <xdr:rowOff>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3F42587A-63B9-B8C9-06A8-B93C7C78DC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24625"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95250</xdr:colOff>
      <xdr:row>0</xdr:row>
      <xdr:rowOff>0</xdr:rowOff>
    </xdr:from>
    <xdr:to>
      <xdr:col>14</xdr:col>
      <xdr:colOff>95250</xdr:colOff>
      <xdr:row>14</xdr:row>
      <xdr:rowOff>0</xdr:rowOff>
    </xdr:to>
    <mc:AlternateContent xmlns:mc="http://schemas.openxmlformats.org/markup-compatibility/2006">
      <mc:Choice xmlns:a14="http://schemas.microsoft.com/office/drawing/2010/main" Requires="a14">
        <xdr:graphicFrame macro="">
          <xdr:nvGraphicFramePr>
            <xdr:cNvPr id="7" name="Customer_Segment">
              <a:extLst>
                <a:ext uri="{FF2B5EF4-FFF2-40B4-BE49-F238E27FC236}">
                  <a16:creationId xmlns:a16="http://schemas.microsoft.com/office/drawing/2014/main" id="{981F42C4-6472-4073-E982-AA4D6FE6EB8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8334375"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161925</xdr:colOff>
      <xdr:row>13</xdr:row>
      <xdr:rowOff>66675</xdr:rowOff>
    </xdr:from>
    <xdr:to>
      <xdr:col>11</xdr:col>
      <xdr:colOff>161925</xdr:colOff>
      <xdr:row>27</xdr:row>
      <xdr:rowOff>66675</xdr:rowOff>
    </xdr:to>
    <mc:AlternateContent xmlns:mc="http://schemas.openxmlformats.org/markup-compatibility/2006">
      <mc:Choice xmlns:a14="http://schemas.microsoft.com/office/drawing/2010/main" Requires="a14">
        <xdr:graphicFrame macro="">
          <xdr:nvGraphicFramePr>
            <xdr:cNvPr id="9" name="Quarters (Date)">
              <a:extLst>
                <a:ext uri="{FF2B5EF4-FFF2-40B4-BE49-F238E27FC236}">
                  <a16:creationId xmlns:a16="http://schemas.microsoft.com/office/drawing/2014/main" id="{40C0438B-9752-386F-AD87-5FC609F4D36C}"/>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dr:sp macro="" textlink="">
          <xdr:nvSpPr>
            <xdr:cNvPr id="0" name=""/>
            <xdr:cNvSpPr>
              <a:spLocks noTextEdit="1"/>
            </xdr:cNvSpPr>
          </xdr:nvSpPr>
          <xdr:spPr>
            <a:xfrm>
              <a:off x="6572250" y="25431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428626</xdr:colOff>
      <xdr:row>12</xdr:row>
      <xdr:rowOff>57150</xdr:rowOff>
    </xdr:from>
    <xdr:to>
      <xdr:col>16</xdr:col>
      <xdr:colOff>133350</xdr:colOff>
      <xdr:row>30</xdr:row>
      <xdr:rowOff>104775</xdr:rowOff>
    </xdr:to>
    <xdr:sp macro="" textlink="">
      <xdr:nvSpPr>
        <xdr:cNvPr id="13" name="Rectangle 12">
          <a:extLst>
            <a:ext uri="{FF2B5EF4-FFF2-40B4-BE49-F238E27FC236}">
              <a16:creationId xmlns:a16="http://schemas.microsoft.com/office/drawing/2014/main" id="{70B62739-DB7D-4B44-8293-A66458AFDB36}"/>
            </a:ext>
          </a:extLst>
        </xdr:cNvPr>
        <xdr:cNvSpPr/>
      </xdr:nvSpPr>
      <xdr:spPr>
        <a:xfrm>
          <a:off x="5305426" y="3086100"/>
          <a:ext cx="4581524" cy="3476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314324</xdr:colOff>
      <xdr:row>12</xdr:row>
      <xdr:rowOff>57151</xdr:rowOff>
    </xdr:from>
    <xdr:to>
      <xdr:col>23</xdr:col>
      <xdr:colOff>9525</xdr:colOff>
      <xdr:row>30</xdr:row>
      <xdr:rowOff>85725</xdr:rowOff>
    </xdr:to>
    <xdr:sp macro="" textlink="">
      <xdr:nvSpPr>
        <xdr:cNvPr id="14" name="Rectangle 13">
          <a:extLst>
            <a:ext uri="{FF2B5EF4-FFF2-40B4-BE49-F238E27FC236}">
              <a16:creationId xmlns:a16="http://schemas.microsoft.com/office/drawing/2014/main" id="{193AD14C-27B0-40A9-89F7-E50777A4B88E}"/>
            </a:ext>
          </a:extLst>
        </xdr:cNvPr>
        <xdr:cNvSpPr/>
      </xdr:nvSpPr>
      <xdr:spPr>
        <a:xfrm>
          <a:off x="10067924" y="3086101"/>
          <a:ext cx="3962401" cy="34575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190501</xdr:colOff>
      <xdr:row>12</xdr:row>
      <xdr:rowOff>85725</xdr:rowOff>
    </xdr:from>
    <xdr:to>
      <xdr:col>8</xdr:col>
      <xdr:colOff>266701</xdr:colOff>
      <xdr:row>30</xdr:row>
      <xdr:rowOff>85725</xdr:rowOff>
    </xdr:to>
    <xdr:sp macro="" textlink="">
      <xdr:nvSpPr>
        <xdr:cNvPr id="12" name="Rectangle 11">
          <a:extLst>
            <a:ext uri="{FF2B5EF4-FFF2-40B4-BE49-F238E27FC236}">
              <a16:creationId xmlns:a16="http://schemas.microsoft.com/office/drawing/2014/main" id="{84B718C7-C6B5-A14B-F22E-5FC25D62C73B}"/>
            </a:ext>
          </a:extLst>
        </xdr:cNvPr>
        <xdr:cNvSpPr/>
      </xdr:nvSpPr>
      <xdr:spPr>
        <a:xfrm>
          <a:off x="190501" y="3114675"/>
          <a:ext cx="4953000" cy="3429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142875</xdr:colOff>
      <xdr:row>1</xdr:row>
      <xdr:rowOff>114300</xdr:rowOff>
    </xdr:from>
    <xdr:to>
      <xdr:col>11</xdr:col>
      <xdr:colOff>66675</xdr:colOff>
      <xdr:row>10</xdr:row>
      <xdr:rowOff>171450</xdr:rowOff>
    </xdr:to>
    <xdr:sp macro="" textlink="">
      <xdr:nvSpPr>
        <xdr:cNvPr id="2" name="Rectangle: Rounded Corners 1">
          <a:extLst>
            <a:ext uri="{FF2B5EF4-FFF2-40B4-BE49-F238E27FC236}">
              <a16:creationId xmlns:a16="http://schemas.microsoft.com/office/drawing/2014/main" id="{665C5A2F-2869-BE90-DC8B-ADF9107A62E4}"/>
            </a:ext>
          </a:extLst>
        </xdr:cNvPr>
        <xdr:cNvSpPr/>
      </xdr:nvSpPr>
      <xdr:spPr>
        <a:xfrm>
          <a:off x="142875" y="876300"/>
          <a:ext cx="6629400" cy="1771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571500</xdr:colOff>
      <xdr:row>2</xdr:row>
      <xdr:rowOff>123825</xdr:rowOff>
    </xdr:from>
    <xdr:to>
      <xdr:col>6</xdr:col>
      <xdr:colOff>590080</xdr:colOff>
      <xdr:row>9</xdr:row>
      <xdr:rowOff>85725</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5FE4471E-056B-4824-B928-0869F938614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400300" y="1076325"/>
              <a:ext cx="184738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257175</xdr:colOff>
      <xdr:row>2</xdr:row>
      <xdr:rowOff>123824</xdr:rowOff>
    </xdr:from>
    <xdr:to>
      <xdr:col>10</xdr:col>
      <xdr:colOff>275755</xdr:colOff>
      <xdr:row>9</xdr:row>
      <xdr:rowOff>57149</xdr:rowOff>
    </xdr:to>
    <mc:AlternateContent xmlns:mc="http://schemas.openxmlformats.org/markup-compatibility/2006">
      <mc:Choice xmlns:a14="http://schemas.microsoft.com/office/drawing/2010/main" Requires="a14">
        <xdr:graphicFrame macro="">
          <xdr:nvGraphicFramePr>
            <xdr:cNvPr id="4" name="Customer_Segment 1">
              <a:extLst>
                <a:ext uri="{FF2B5EF4-FFF2-40B4-BE49-F238E27FC236}">
                  <a16:creationId xmlns:a16="http://schemas.microsoft.com/office/drawing/2014/main" id="{AD467827-E9EE-4AB7-9461-EE6FBE3A0675}"/>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4524375" y="1076324"/>
              <a:ext cx="184738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400050</xdr:colOff>
      <xdr:row>12</xdr:row>
      <xdr:rowOff>174880</xdr:rowOff>
    </xdr:from>
    <xdr:to>
      <xdr:col>7</xdr:col>
      <xdr:colOff>548096</xdr:colOff>
      <xdr:row>27</xdr:row>
      <xdr:rowOff>133349</xdr:rowOff>
    </xdr:to>
    <xdr:graphicFrame macro="">
      <xdr:nvGraphicFramePr>
        <xdr:cNvPr id="6" name="Chart 5">
          <a:extLst>
            <a:ext uri="{FF2B5EF4-FFF2-40B4-BE49-F238E27FC236}">
              <a16:creationId xmlns:a16="http://schemas.microsoft.com/office/drawing/2014/main" id="{1AD6E060-EAEA-4A62-B055-C4E0A83F9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38100</xdr:colOff>
      <xdr:row>13</xdr:row>
      <xdr:rowOff>66674</xdr:rowOff>
    </xdr:from>
    <xdr:to>
      <xdr:col>22</xdr:col>
      <xdr:colOff>438149</xdr:colOff>
      <xdr:row>27</xdr:row>
      <xdr:rowOff>85725</xdr:rowOff>
    </xdr:to>
    <xdr:graphicFrame macro="">
      <xdr:nvGraphicFramePr>
        <xdr:cNvPr id="7" name="Chart 6">
          <a:extLst>
            <a:ext uri="{FF2B5EF4-FFF2-40B4-BE49-F238E27FC236}">
              <a16:creationId xmlns:a16="http://schemas.microsoft.com/office/drawing/2014/main" id="{80A707B2-E933-458D-AFFD-B5054CB78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514351</xdr:colOff>
      <xdr:row>12</xdr:row>
      <xdr:rowOff>142143</xdr:rowOff>
    </xdr:from>
    <xdr:to>
      <xdr:col>15</xdr:col>
      <xdr:colOff>2143</xdr:colOff>
      <xdr:row>27</xdr:row>
      <xdr:rowOff>47625</xdr:rowOff>
    </xdr:to>
    <xdr:graphicFrame macro="">
      <xdr:nvGraphicFramePr>
        <xdr:cNvPr id="8" name="Chart 7">
          <a:extLst>
            <a:ext uri="{FF2B5EF4-FFF2-40B4-BE49-F238E27FC236}">
              <a16:creationId xmlns:a16="http://schemas.microsoft.com/office/drawing/2014/main" id="{428543F9-FCD8-4F71-A5E7-E249D6707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9525</xdr:colOff>
      <xdr:row>3</xdr:row>
      <xdr:rowOff>9525</xdr:rowOff>
    </xdr:from>
    <xdr:to>
      <xdr:col>14</xdr:col>
      <xdr:colOff>600074</xdr:colOff>
      <xdr:row>4</xdr:row>
      <xdr:rowOff>161925</xdr:rowOff>
    </xdr:to>
    <xdr:sp macro="" textlink="">
      <xdr:nvSpPr>
        <xdr:cNvPr id="17" name="Rectangle 16">
          <a:extLst>
            <a:ext uri="{FF2B5EF4-FFF2-40B4-BE49-F238E27FC236}">
              <a16:creationId xmlns:a16="http://schemas.microsoft.com/office/drawing/2014/main" id="{ABE42F8F-C192-21E1-CA5F-C899EFCC83B7}"/>
            </a:ext>
          </a:extLst>
        </xdr:cNvPr>
        <xdr:cNvSpPr/>
      </xdr:nvSpPr>
      <xdr:spPr>
        <a:xfrm>
          <a:off x="7324725" y="1152525"/>
          <a:ext cx="1809749"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Total</a:t>
          </a:r>
          <a:r>
            <a:rPr lang="en-IN" sz="1600" baseline="0"/>
            <a:t> Sales</a:t>
          </a:r>
          <a:endParaRPr lang="en-IN" sz="1600"/>
        </a:p>
      </xdr:txBody>
    </xdr:sp>
    <xdr:clientData/>
  </xdr:twoCellAnchor>
  <xdr:twoCellAnchor editAs="oneCell">
    <xdr:from>
      <xdr:col>0</xdr:col>
      <xdr:colOff>371475</xdr:colOff>
      <xdr:row>2</xdr:row>
      <xdr:rowOff>123825</xdr:rowOff>
    </xdr:from>
    <xdr:to>
      <xdr:col>3</xdr:col>
      <xdr:colOff>371475</xdr:colOff>
      <xdr:row>9</xdr:row>
      <xdr:rowOff>142875</xdr:rowOff>
    </xdr:to>
    <mc:AlternateContent xmlns:mc="http://schemas.openxmlformats.org/markup-compatibility/2006">
      <mc:Choice xmlns:a14="http://schemas.microsoft.com/office/drawing/2010/main" Requires="a14">
        <xdr:graphicFrame macro="">
          <xdr:nvGraphicFramePr>
            <xdr:cNvPr id="18" name="Quarters (Date) 1">
              <a:extLst>
                <a:ext uri="{FF2B5EF4-FFF2-40B4-BE49-F238E27FC236}">
                  <a16:creationId xmlns:a16="http://schemas.microsoft.com/office/drawing/2014/main" id="{9C7726A7-D317-47F7-B7C6-E5B48387B5CA}"/>
                </a:ext>
              </a:extLst>
            </xdr:cNvPr>
            <xdr:cNvGraphicFramePr/>
          </xdr:nvGraphicFramePr>
          <xdr:xfrm>
            <a:off x="0" y="0"/>
            <a:ext cx="0" cy="0"/>
          </xdr:xfrm>
          <a:graphic>
            <a:graphicData uri="http://schemas.microsoft.com/office/drawing/2010/slicer">
              <sle:slicer xmlns:sle="http://schemas.microsoft.com/office/drawing/2010/slicer" name="Quarters (Date) 1"/>
            </a:graphicData>
          </a:graphic>
        </xdr:graphicFrame>
      </mc:Choice>
      <mc:Fallback>
        <xdr:sp macro="" textlink="">
          <xdr:nvSpPr>
            <xdr:cNvPr id="0" name=""/>
            <xdr:cNvSpPr>
              <a:spLocks noTextEdit="1"/>
            </xdr:cNvSpPr>
          </xdr:nvSpPr>
          <xdr:spPr>
            <a:xfrm>
              <a:off x="371475" y="1076325"/>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9526</xdr:colOff>
      <xdr:row>3</xdr:row>
      <xdr:rowOff>19050</xdr:rowOff>
    </xdr:from>
    <xdr:to>
      <xdr:col>18</xdr:col>
      <xdr:colOff>561976</xdr:colOff>
      <xdr:row>4</xdr:row>
      <xdr:rowOff>152400</xdr:rowOff>
    </xdr:to>
    <xdr:sp macro="" textlink="">
      <xdr:nvSpPr>
        <xdr:cNvPr id="19" name="Rectangle 18">
          <a:extLst>
            <a:ext uri="{FF2B5EF4-FFF2-40B4-BE49-F238E27FC236}">
              <a16:creationId xmlns:a16="http://schemas.microsoft.com/office/drawing/2014/main" id="{DEB120A5-8E21-A28E-BE1F-3BE8F71C6E6F}"/>
            </a:ext>
          </a:extLst>
        </xdr:cNvPr>
        <xdr:cNvSpPr/>
      </xdr:nvSpPr>
      <xdr:spPr>
        <a:xfrm>
          <a:off x="9763126" y="1162050"/>
          <a:ext cx="1771650"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Total  Sales Qty</a:t>
          </a:r>
        </a:p>
      </xdr:txBody>
    </xdr:sp>
    <xdr:clientData/>
  </xdr:twoCellAnchor>
  <xdr:twoCellAnchor>
    <xdr:from>
      <xdr:col>20</xdr:col>
      <xdr:colOff>0</xdr:colOff>
      <xdr:row>3</xdr:row>
      <xdr:rowOff>66675</xdr:rowOff>
    </xdr:from>
    <xdr:to>
      <xdr:col>22</xdr:col>
      <xdr:colOff>590549</xdr:colOff>
      <xdr:row>5</xdr:row>
      <xdr:rowOff>9525</xdr:rowOff>
    </xdr:to>
    <xdr:sp macro="" textlink="">
      <xdr:nvSpPr>
        <xdr:cNvPr id="20" name="Rectangle 19">
          <a:extLst>
            <a:ext uri="{FF2B5EF4-FFF2-40B4-BE49-F238E27FC236}">
              <a16:creationId xmlns:a16="http://schemas.microsoft.com/office/drawing/2014/main" id="{35372681-DA8D-040A-DE31-EF6E34787824}"/>
            </a:ext>
          </a:extLst>
        </xdr:cNvPr>
        <xdr:cNvSpPr/>
      </xdr:nvSpPr>
      <xdr:spPr>
        <a:xfrm>
          <a:off x="12192000" y="1209675"/>
          <a:ext cx="1809749" cy="323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Total Profit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1.481385763887" createdVersion="8" refreshedVersion="8" minRefreshableVersion="3" recordCount="250" xr:uid="{DAAD06AA-B392-4CCD-89DB-ABCCC142A650}">
  <cacheSource type="worksheet">
    <worksheetSource ref="A1:N251" sheet="remove duplicate"/>
  </cacheSource>
  <cacheFields count="14">
    <cacheField name="Transaction_ID" numFmtId="0">
      <sharedItems/>
    </cacheField>
    <cacheField name="Date" numFmtId="14">
      <sharedItems containsSemiMixedTypes="0" containsNonDate="0" containsDate="1" containsString="0" minDate="2024-04-11T00:00:00" maxDate="2025-04-12T00:00:00"/>
    </cacheField>
    <cacheField name="Customer_ID" numFmtId="0">
      <sharedItems/>
    </cacheField>
    <cacheField name="Customer_Name" numFmtId="49">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2">
      <sharedItems containsSemiMixedTypes="0" containsString="0" containsNumber="1" minValue="59.99" maxValue="4499.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71.528478356478" createdVersion="8" refreshedVersion="8" minRefreshableVersion="3" recordCount="250" xr:uid="{C32A1968-4E7F-4B0E-B379-FB585DADC59B}">
  <cacheSource type="worksheet">
    <worksheetSource name="Table1"/>
  </cacheSource>
  <cacheFields count="22">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21"/>
    </cacheField>
    <cacheField name="Customer_ID" numFmtId="0">
      <sharedItems/>
    </cacheField>
    <cacheField name="Customer_Name" numFmtId="49">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acheField>
    <cacheField name="Region"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2">
      <sharedItems containsSemiMixedTypes="0" containsString="0" containsNumber="1" minValue="59.99" maxValue="4499.95"/>
    </cacheField>
    <cacheField name="lookup values" numFmtId="49">
      <sharedItems/>
    </cacheField>
    <cacheField name="Vlookup" numFmtId="0">
      <sharedItems/>
    </cacheField>
    <cacheField name="index match" numFmtId="0">
      <sharedItems containsMixedTypes="1" containsNumber="1" minValue="59.99" maxValue="4499.95"/>
    </cacheField>
    <cacheField name="if" numFmtId="0">
      <sharedItems/>
    </cacheField>
    <cacheField name="ifs" numFmtId="0">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414563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x v="0"/>
    <s v="P009"/>
    <s v="Monitor"/>
    <x v="0"/>
    <n v="3"/>
    <n v="249.99"/>
    <s v="Cash"/>
    <s v="Central"/>
    <s v="Basic"/>
    <d v="2021-08-17T00:00:00"/>
    <n v="749.97"/>
  </r>
  <r>
    <s v="TRX0023"/>
    <d v="2024-04-14T00:00:00"/>
    <s v="CUST013"/>
    <x v="1"/>
    <s v="P009"/>
    <s v="Monitor"/>
    <x v="0"/>
    <n v="3"/>
    <n v="249.99"/>
    <s v="Credit Card"/>
    <s v="Central"/>
    <s v="Premium"/>
    <d v="2022-01-14T00:00:00"/>
    <n v="749.97"/>
  </r>
  <r>
    <s v="TRX0139"/>
    <d v="2024-04-17T00:00:00"/>
    <s v="CUST021"/>
    <x v="2"/>
    <s v="P005"/>
    <s v="Blender"/>
    <x v="1"/>
    <n v="3"/>
    <n v="59.99"/>
    <s v="PayPal"/>
    <s v="South"/>
    <s v="Standard"/>
    <d v="2023-12-02T00:00:00"/>
    <n v="179.97"/>
  </r>
  <r>
    <s v="TRX0043"/>
    <d v="2024-04-18T00:00:00"/>
    <s v="CUST046"/>
    <x v="3"/>
    <s v="P005"/>
    <s v="Blender"/>
    <x v="1"/>
    <n v="3"/>
    <n v="59.99"/>
    <s v="Cash"/>
    <s v="North"/>
    <s v="Premium"/>
    <d v="2023-07-07T00:00:00"/>
    <n v="179.97"/>
  </r>
  <r>
    <s v="TRX0212"/>
    <d v="2024-04-18T00:00:00"/>
    <s v="CUST003"/>
    <x v="4"/>
    <s v="P008"/>
    <s v="Bookshelf"/>
    <x v="2"/>
    <n v="5"/>
    <n v="149.99"/>
    <s v="Credit Card"/>
    <s v="North"/>
    <s v="Premium"/>
    <d v="2024-01-04T00:00:00"/>
    <n v="749.95"/>
  </r>
  <r>
    <s v="TRX0092"/>
    <d v="2024-04-21T00:00:00"/>
    <s v="CUST024"/>
    <x v="5"/>
    <s v="P005"/>
    <s v="Blender"/>
    <x v="1"/>
    <n v="2"/>
    <n v="59.99"/>
    <s v="Cash"/>
    <s v="West"/>
    <s v="Standard"/>
    <d v="2022-07-04T00:00:00"/>
    <n v="119.98"/>
  </r>
  <r>
    <s v="TRX0193"/>
    <d v="2024-04-21T00:00:00"/>
    <s v="CUST024"/>
    <x v="5"/>
    <s v="P003"/>
    <s v="Headphones"/>
    <x v="0"/>
    <n v="5"/>
    <n v="149.99"/>
    <s v="Credit Card"/>
    <s v="Central"/>
    <s v="Standard"/>
    <d v="2021-08-10T00:00:00"/>
    <n v="749.95"/>
  </r>
  <r>
    <s v="TRX0240"/>
    <d v="2024-04-21T00:00:00"/>
    <s v="CUST017"/>
    <x v="6"/>
    <s v="P005"/>
    <s v="Blender"/>
    <x v="1"/>
    <n v="3"/>
    <n v="59.99"/>
    <s v="Debit Card"/>
    <s v="South"/>
    <s v="Basic"/>
    <d v="2023-03-22T00:00:00"/>
    <n v="179.97"/>
  </r>
  <r>
    <s v="TRX0135"/>
    <d v="2024-04-23T00:00:00"/>
    <s v="CUST009"/>
    <x v="7"/>
    <s v="P001"/>
    <s v="Laptop"/>
    <x v="0"/>
    <n v="3"/>
    <n v="899.99"/>
    <s v="PayPal"/>
    <s v="East"/>
    <s v="Standard"/>
    <d v="2024-01-08T00:00:00"/>
    <n v="2699.97"/>
  </r>
  <r>
    <s v="TRX0185"/>
    <d v="2024-04-26T00:00:00"/>
    <s v="CUST026"/>
    <x v="8"/>
    <s v="P005"/>
    <s v="Blender"/>
    <x v="1"/>
    <n v="3"/>
    <n v="59.99"/>
    <s v="Cash"/>
    <s v="West"/>
    <s v="Premium"/>
    <d v="2023-10-08T00:00:00"/>
    <n v="179.97"/>
  </r>
  <r>
    <s v="TRX0138"/>
    <d v="2024-04-26T00:00:00"/>
    <s v="CUST022"/>
    <x v="9"/>
    <s v="P008"/>
    <s v="Bookshelf"/>
    <x v="2"/>
    <n v="1"/>
    <n v="149.99"/>
    <s v="Credit Card"/>
    <s v="West"/>
    <s v="Standard"/>
    <d v="2023-06-26T00:00:00"/>
    <n v="149.99"/>
  </r>
  <r>
    <s v="TRX0209"/>
    <d v="2024-04-26T00:00:00"/>
    <s v="CUST046"/>
    <x v="3"/>
    <s v="P008"/>
    <s v="Bookshelf"/>
    <x v="2"/>
    <n v="5"/>
    <n v="149.99"/>
    <s v="Debit Card"/>
    <s v="North"/>
    <s v="Basic"/>
    <d v="2022-09-26T00:00:00"/>
    <n v="749.95"/>
  </r>
  <r>
    <s v="TRX0246"/>
    <d v="2024-04-26T00:00:00"/>
    <s v="CUST041"/>
    <x v="10"/>
    <s v="P008"/>
    <s v="Bookshelf"/>
    <x v="2"/>
    <n v="3"/>
    <n v="149.99"/>
    <s v="Cash"/>
    <s v="North"/>
    <s v="Premium"/>
    <d v="2022-09-02T00:00:00"/>
    <n v="449.97"/>
  </r>
  <r>
    <s v="TRX0067"/>
    <d v="2024-04-27T00:00:00"/>
    <s v="CUST043"/>
    <x v="11"/>
    <s v="P005"/>
    <s v="Blender"/>
    <x v="1"/>
    <n v="3"/>
    <n v="59.99"/>
    <s v="Credit Card"/>
    <s v="North"/>
    <s v="Standard"/>
    <d v="2024-02-29T00:00:00"/>
    <n v="179.97"/>
  </r>
  <r>
    <s v="TRX0191"/>
    <d v="2024-04-27T00:00:00"/>
    <s v="CUST038"/>
    <x v="12"/>
    <s v="P002"/>
    <s v="Smartphone"/>
    <x v="0"/>
    <n v="3"/>
    <n v="699.99"/>
    <s v="Credit Card"/>
    <s v="West"/>
    <s v="Basic"/>
    <d v="2022-01-16T00:00:00"/>
    <n v="2099.9699999999998"/>
  </r>
  <r>
    <s v="TRX0230"/>
    <d v="2024-04-27T00:00:00"/>
    <s v="CUST027"/>
    <x v="13"/>
    <s v="P001"/>
    <s v="Laptop"/>
    <x v="0"/>
    <n v="1"/>
    <n v="899.99"/>
    <s v="Debit Card"/>
    <s v="North"/>
    <s v="Standard"/>
    <d v="2022-12-25T00:00:00"/>
    <n v="899.99"/>
  </r>
  <r>
    <s v="TRX0049"/>
    <d v="2024-04-28T00:00:00"/>
    <s v="CUST025"/>
    <x v="14"/>
    <s v="P008"/>
    <s v="Bookshelf"/>
    <x v="2"/>
    <n v="4"/>
    <n v="149.99"/>
    <s v="Debit Card"/>
    <s v="North"/>
    <s v="Premium"/>
    <d v="2024-03-23T00:00:00"/>
    <n v="599.96"/>
  </r>
  <r>
    <s v="TRX0134"/>
    <d v="2024-04-28T00:00:00"/>
    <s v="CUST010"/>
    <x v="15"/>
    <s v="P002"/>
    <s v="Smartphone"/>
    <x v="0"/>
    <n v="2"/>
    <n v="699.99"/>
    <s v="Cash"/>
    <s v="North"/>
    <s v="Basic"/>
    <d v="2022-08-08T00:00:00"/>
    <n v="1399.98"/>
  </r>
  <r>
    <s v="TRX0122"/>
    <d v="2024-04-28T00:00:00"/>
    <s v="CUST025"/>
    <x v="14"/>
    <s v="P001"/>
    <s v="Laptop"/>
    <x v="0"/>
    <n v="4"/>
    <n v="899.99"/>
    <s v="Credit Card"/>
    <s v="West"/>
    <s v="Standard"/>
    <d v="2024-02-05T00:00:00"/>
    <n v="3599.96"/>
  </r>
  <r>
    <s v="TRX0222"/>
    <d v="2024-04-28T00:00:00"/>
    <s v="CUST048"/>
    <x v="16"/>
    <s v="P009"/>
    <s v="Monitor"/>
    <x v="0"/>
    <n v="3"/>
    <n v="249.99"/>
    <s v="Credit Card"/>
    <s v="North"/>
    <s v="Premium"/>
    <d v="2023-10-25T00:00:00"/>
    <n v="749.97"/>
  </r>
  <r>
    <s v="TRX0231"/>
    <d v="2024-04-30T00:00:00"/>
    <s v="CUST018"/>
    <x v="17"/>
    <s v="P002"/>
    <s v="Smartphone"/>
    <x v="0"/>
    <n v="5"/>
    <n v="699.99"/>
    <s v="Cash"/>
    <s v="West"/>
    <s v="Basic"/>
    <d v="2023-08-29T00:00:00"/>
    <n v="3499.95"/>
  </r>
  <r>
    <s v="TRX0239"/>
    <d v="2024-05-01T00:00:00"/>
    <s v="CUST012"/>
    <x v="18"/>
    <s v="P002"/>
    <s v="Smartphone"/>
    <x v="0"/>
    <n v="4"/>
    <n v="699.99"/>
    <s v="Cash"/>
    <s v="East"/>
    <s v="Standard"/>
    <d v="2021-08-01T00:00:00"/>
    <n v="2799.96"/>
  </r>
  <r>
    <s v="TRX0204"/>
    <d v="2024-05-03T00:00:00"/>
    <s v="CUST044"/>
    <x v="19"/>
    <s v="P009"/>
    <s v="Monitor"/>
    <x v="0"/>
    <n v="4"/>
    <n v="249.99"/>
    <s v="PayPal"/>
    <s v="North"/>
    <s v="Standard"/>
    <d v="2021-09-29T00:00:00"/>
    <n v="999.96"/>
  </r>
  <r>
    <s v="TRX0242"/>
    <d v="2024-05-04T00:00:00"/>
    <s v="CUST025"/>
    <x v="14"/>
    <s v="P007"/>
    <s v="Desk"/>
    <x v="2"/>
    <n v="4"/>
    <n v="299.99"/>
    <s v="Cash"/>
    <s v="West"/>
    <s v="Premium"/>
    <d v="2022-06-04T00:00:00"/>
    <n v="1199.96"/>
  </r>
  <r>
    <s v="TRX0071"/>
    <d v="2024-05-10T00:00:00"/>
    <s v="CUST036"/>
    <x v="20"/>
    <s v="P009"/>
    <s v="Monitor"/>
    <x v="0"/>
    <n v="5"/>
    <n v="249.99"/>
    <s v="Credit Card"/>
    <s v="West"/>
    <s v="Standard"/>
    <d v="2021-11-25T00:00:00"/>
    <n v="1249.95"/>
  </r>
  <r>
    <s v="TRX0040"/>
    <d v="2024-05-12T00:00:00"/>
    <s v="CUST022"/>
    <x v="9"/>
    <s v="P007"/>
    <s v="Desk"/>
    <x v="2"/>
    <n v="5"/>
    <n v="299.99"/>
    <s v="PayPal"/>
    <s v="East"/>
    <s v="Basic"/>
    <d v="2023-08-30T00:00:00"/>
    <n v="1499.95"/>
  </r>
  <r>
    <s v="TRX0235"/>
    <d v="2024-05-12T00:00:00"/>
    <s v="CUST014"/>
    <x v="21"/>
    <s v="P004"/>
    <s v="Coffee Maker"/>
    <x v="1"/>
    <n v="3"/>
    <n v="79.989999999999995"/>
    <s v="PayPal"/>
    <s v="East"/>
    <s v="Premium"/>
    <d v="2023-03-27T00:00:00"/>
    <n v="239.97"/>
  </r>
  <r>
    <s v="TRX0004"/>
    <d v="2024-05-12T00:00:00"/>
    <s v="CUST012"/>
    <x v="18"/>
    <s v="P010"/>
    <s v="Keyboard"/>
    <x v="0"/>
    <n v="5"/>
    <n v="89.99"/>
    <s v="Cash"/>
    <s v="North"/>
    <s v="Premium"/>
    <d v="2022-12-24T00:00:00"/>
    <n v="449.95"/>
  </r>
  <r>
    <s v="TRX0063"/>
    <d v="2024-05-13T00:00:00"/>
    <s v="CUST030"/>
    <x v="22"/>
    <s v="P005"/>
    <s v="Blender"/>
    <x v="1"/>
    <n v="2"/>
    <n v="59.99"/>
    <s v="Debit Card"/>
    <s v="Central"/>
    <s v="Standard"/>
    <d v="2023-10-15T00:00:00"/>
    <n v="119.98"/>
  </r>
  <r>
    <s v="TRX0241"/>
    <d v="2024-05-15T00:00:00"/>
    <s v="CUST029"/>
    <x v="23"/>
    <s v="P005"/>
    <s v="Blender"/>
    <x v="1"/>
    <n v="4"/>
    <n v="59.99"/>
    <s v="Debit Card"/>
    <s v="East"/>
    <s v="Standard"/>
    <d v="2022-11-02T00:00:00"/>
    <n v="239.96"/>
  </r>
  <r>
    <s v="TRX0029"/>
    <d v="2024-05-15T00:00:00"/>
    <s v="CUST017"/>
    <x v="6"/>
    <s v="P006"/>
    <s v="Office Chair"/>
    <x v="2"/>
    <n v="5"/>
    <n v="199.99"/>
    <s v="Cash"/>
    <s v="South"/>
    <s v="Standard"/>
    <d v="2021-08-04T00:00:00"/>
    <n v="999.95"/>
  </r>
  <r>
    <s v="TRX0194"/>
    <d v="2024-05-16T00:00:00"/>
    <s v="CUST006"/>
    <x v="24"/>
    <s v="P008"/>
    <s v="Bookshelf"/>
    <x v="2"/>
    <n v="2"/>
    <n v="149.99"/>
    <s v="Credit Card"/>
    <s v="West"/>
    <s v="Basic"/>
    <d v="2022-09-19T00:00:00"/>
    <n v="299.98"/>
  </r>
  <r>
    <s v="TRX0130"/>
    <d v="2024-05-18T00:00:00"/>
    <s v="CUST002"/>
    <x v="25"/>
    <s v="P008"/>
    <s v="Bookshelf"/>
    <x v="2"/>
    <n v="3"/>
    <n v="149.99"/>
    <s v="Credit Card"/>
    <s v="West"/>
    <s v="Premium"/>
    <d v="2023-05-22T00:00:00"/>
    <n v="449.97"/>
  </r>
  <r>
    <s v="TRX0041"/>
    <d v="2024-05-20T00:00:00"/>
    <s v="CUST021"/>
    <x v="2"/>
    <s v="P001"/>
    <s v="Laptop"/>
    <x v="0"/>
    <n v="1"/>
    <n v="899.99"/>
    <s v="Credit Card"/>
    <s v="West"/>
    <s v="Premium"/>
    <d v="2022-01-17T00:00:00"/>
    <n v="899.99"/>
  </r>
  <r>
    <s v="TRX0232"/>
    <d v="2024-05-22T00:00:00"/>
    <s v="CUST012"/>
    <x v="18"/>
    <s v="P007"/>
    <s v="Desk"/>
    <x v="2"/>
    <n v="3"/>
    <n v="299.99"/>
    <s v="Credit Card"/>
    <s v="East"/>
    <s v="Basic"/>
    <d v="2022-09-20T00:00:00"/>
    <n v="899.97"/>
  </r>
  <r>
    <s v="TRX0021"/>
    <d v="2024-05-23T00:00:00"/>
    <s v="CUST006"/>
    <x v="24"/>
    <s v="P004"/>
    <s v="Coffee Maker"/>
    <x v="1"/>
    <n v="3"/>
    <n v="79.989999999999995"/>
    <s v="Cash"/>
    <s v="South"/>
    <s v="Basic"/>
    <d v="2023-04-30T00:00:00"/>
    <n v="239.97"/>
  </r>
  <r>
    <s v="TRX0245"/>
    <d v="2024-05-26T00:00:00"/>
    <s v="CUST031"/>
    <x v="26"/>
    <s v="P006"/>
    <s v="Office Chair"/>
    <x v="2"/>
    <n v="3"/>
    <n v="199.99"/>
    <s v="Credit Card"/>
    <s v="North"/>
    <s v="Premium"/>
    <d v="2024-01-01T00:00:00"/>
    <n v="599.97"/>
  </r>
  <r>
    <s v="TRX0015"/>
    <d v="2024-05-28T00:00:00"/>
    <s v="CUST008"/>
    <x v="27"/>
    <s v="P002"/>
    <s v="Smartphone"/>
    <x v="0"/>
    <n v="5"/>
    <n v="699.99"/>
    <s v="PayPal"/>
    <s v="West"/>
    <s v="Standard"/>
    <d v="2021-07-30T00:00:00"/>
    <n v="3499.95"/>
  </r>
  <r>
    <s v="TRX0202"/>
    <d v="2024-05-29T00:00:00"/>
    <s v="CUST035"/>
    <x v="28"/>
    <s v="P010"/>
    <s v="Keyboard"/>
    <x v="0"/>
    <n v="3"/>
    <n v="89.99"/>
    <s v="PayPal"/>
    <s v="Central"/>
    <s v="Premium"/>
    <d v="2023-07-13T00:00:00"/>
    <n v="269.97000000000003"/>
  </r>
  <r>
    <s v="TRX0042"/>
    <d v="2024-05-31T00:00:00"/>
    <s v="CUST019"/>
    <x v="29"/>
    <s v="P004"/>
    <s v="Coffee Maker"/>
    <x v="1"/>
    <n v="1"/>
    <n v="79.989999999999995"/>
    <s v="Cash"/>
    <s v="North"/>
    <s v="Standard"/>
    <d v="2022-12-22T00:00:00"/>
    <n v="79.989999999999995"/>
  </r>
  <r>
    <s v="TRX0128"/>
    <d v="2024-06-01T00:00:00"/>
    <s v="CUST040"/>
    <x v="30"/>
    <s v="P005"/>
    <s v="Blender"/>
    <x v="1"/>
    <n v="2"/>
    <n v="59.99"/>
    <s v="Cash"/>
    <s v="West"/>
    <s v="Basic"/>
    <d v="2024-04-08T00:00:00"/>
    <n v="119.98"/>
  </r>
  <r>
    <s v="TRX0117"/>
    <d v="2024-06-01T00:00:00"/>
    <s v="CUST017"/>
    <x v="6"/>
    <s v="P010"/>
    <s v="Keyboard"/>
    <x v="0"/>
    <n v="1"/>
    <n v="89.99"/>
    <s v="Cash"/>
    <s v="North"/>
    <s v="Basic"/>
    <d v="2023-08-03T00:00:00"/>
    <n v="89.99"/>
  </r>
  <r>
    <s v="TRX0208"/>
    <d v="2024-06-03T00:00:00"/>
    <s v="CUST004"/>
    <x v="31"/>
    <s v="P010"/>
    <s v="Keyboard"/>
    <x v="0"/>
    <n v="5"/>
    <n v="89.99"/>
    <s v="Credit Card"/>
    <s v="East"/>
    <s v="Standard"/>
    <d v="2022-01-26T00:00:00"/>
    <n v="449.95"/>
  </r>
  <r>
    <s v="TRX0234"/>
    <d v="2024-06-06T00:00:00"/>
    <s v="CUST013"/>
    <x v="1"/>
    <s v="P009"/>
    <s v="Monitor"/>
    <x v="0"/>
    <n v="5"/>
    <n v="249.99"/>
    <s v="Credit Card"/>
    <s v="East"/>
    <s v="Standard"/>
    <d v="2022-05-26T00:00:00"/>
    <n v="1249.95"/>
  </r>
  <r>
    <s v="TRX0121"/>
    <d v="2024-06-06T00:00:00"/>
    <s v="CUST028"/>
    <x v="32"/>
    <s v="P010"/>
    <s v="Keyboard"/>
    <x v="0"/>
    <n v="1"/>
    <n v="89.99"/>
    <s v="Credit Card"/>
    <s v="South"/>
    <s v="Standard"/>
    <d v="2022-01-21T00:00:00"/>
    <n v="89.99"/>
  </r>
  <r>
    <s v="TRX0220"/>
    <d v="2024-06-07T00:00:00"/>
    <s v="CUST003"/>
    <x v="4"/>
    <s v="P008"/>
    <s v="Bookshelf"/>
    <x v="2"/>
    <n v="2"/>
    <n v="149.99"/>
    <s v="Cash"/>
    <s v="East"/>
    <s v="Premium"/>
    <d v="2022-03-25T00:00:00"/>
    <n v="299.98"/>
  </r>
  <r>
    <s v="TRX0093"/>
    <d v="2024-06-09T00:00:00"/>
    <s v="CUST050"/>
    <x v="33"/>
    <s v="P005"/>
    <s v="Blender"/>
    <x v="1"/>
    <n v="4"/>
    <n v="59.99"/>
    <s v="Cash"/>
    <s v="East"/>
    <s v="Standard"/>
    <d v="2021-08-27T00:00:00"/>
    <n v="239.96"/>
  </r>
  <r>
    <s v="TRX0088"/>
    <d v="2024-06-13T00:00:00"/>
    <s v="CUST006"/>
    <x v="24"/>
    <s v="P010"/>
    <s v="Keyboard"/>
    <x v="0"/>
    <n v="5"/>
    <n v="89.99"/>
    <s v="Cash"/>
    <s v="Central"/>
    <s v="Premium"/>
    <d v="2022-01-18T00:00:00"/>
    <n v="449.95"/>
  </r>
  <r>
    <s v="TRX0115"/>
    <d v="2024-06-16T00:00:00"/>
    <s v="CUST012"/>
    <x v="18"/>
    <s v="P010"/>
    <s v="Keyboard"/>
    <x v="0"/>
    <n v="2"/>
    <n v="89.99"/>
    <s v="Credit Card"/>
    <s v="South"/>
    <s v="Premium"/>
    <d v="2021-10-02T00:00:00"/>
    <n v="179.98"/>
  </r>
  <r>
    <s v="TRX0154"/>
    <d v="2024-06-16T00:00:00"/>
    <s v="CUST023"/>
    <x v="0"/>
    <s v="P001"/>
    <s v="Laptop"/>
    <x v="0"/>
    <n v="5"/>
    <n v="899.99"/>
    <s v="Credit Card"/>
    <s v="South"/>
    <s v="Standard"/>
    <d v="2023-02-17T00:00:00"/>
    <n v="4499.95"/>
  </r>
  <r>
    <s v="TRX0044"/>
    <d v="2024-06-16T00:00:00"/>
    <s v="CUST029"/>
    <x v="23"/>
    <s v="P001"/>
    <s v="Laptop"/>
    <x v="0"/>
    <n v="5"/>
    <n v="899.99"/>
    <s v="PayPal"/>
    <s v="East"/>
    <s v="Premium"/>
    <d v="2023-12-18T00:00:00"/>
    <n v="4499.95"/>
  </r>
  <r>
    <s v="TRX0061"/>
    <d v="2024-06-17T00:00:00"/>
    <s v="CUST028"/>
    <x v="32"/>
    <s v="P005"/>
    <s v="Blender"/>
    <x v="1"/>
    <n v="1"/>
    <n v="59.99"/>
    <s v="Debit Card"/>
    <s v="West"/>
    <s v="Premium"/>
    <d v="2023-09-21T00:00:00"/>
    <n v="59.99"/>
  </r>
  <r>
    <s v="TRX0150"/>
    <d v="2024-06-17T00:00:00"/>
    <s v="CUST008"/>
    <x v="27"/>
    <s v="P007"/>
    <s v="Desk"/>
    <x v="2"/>
    <n v="2"/>
    <n v="299.99"/>
    <s v="Debit Card"/>
    <s v="East"/>
    <s v="Standard"/>
    <d v="2023-11-23T00:00:00"/>
    <n v="599.98"/>
  </r>
  <r>
    <s v="TRX0025"/>
    <d v="2024-06-25T00:00:00"/>
    <s v="CUST049"/>
    <x v="34"/>
    <s v="P010"/>
    <s v="Keyboard"/>
    <x v="0"/>
    <n v="4"/>
    <n v="89.99"/>
    <s v="Debit Card"/>
    <s v="South"/>
    <s v="Basic"/>
    <d v="2023-12-21T00:00:00"/>
    <n v="359.96"/>
  </r>
  <r>
    <s v="TRX0078"/>
    <d v="2024-06-26T00:00:00"/>
    <s v="CUST021"/>
    <x v="2"/>
    <s v="P004"/>
    <s v="Coffee Maker"/>
    <x v="1"/>
    <n v="1"/>
    <n v="79.989999999999995"/>
    <s v="PayPal"/>
    <s v="Central"/>
    <s v="Premium"/>
    <d v="2024-03-01T00:00:00"/>
    <n v="79.989999999999995"/>
  </r>
  <r>
    <s v="TRX0007"/>
    <d v="2024-06-26T00:00:00"/>
    <s v="CUST009"/>
    <x v="7"/>
    <s v="P010"/>
    <s v="Keyboard"/>
    <x v="0"/>
    <n v="2"/>
    <n v="89.99"/>
    <s v="Cash"/>
    <s v="West"/>
    <s v="Basic"/>
    <d v="2021-08-30T00:00:00"/>
    <n v="179.98"/>
  </r>
  <r>
    <s v="TRX0184"/>
    <d v="2024-06-28T00:00:00"/>
    <s v="CUST046"/>
    <x v="3"/>
    <s v="P002"/>
    <s v="Smartphone"/>
    <x v="0"/>
    <n v="3"/>
    <n v="699.99"/>
    <s v="Credit Card"/>
    <s v="East"/>
    <s v="Premium"/>
    <d v="2023-06-25T00:00:00"/>
    <n v="2099.9699999999998"/>
  </r>
  <r>
    <s v="TRX0104"/>
    <d v="2024-06-28T00:00:00"/>
    <s v="CUST012"/>
    <x v="18"/>
    <s v="P001"/>
    <s v="Laptop"/>
    <x v="0"/>
    <n v="4"/>
    <n v="899.99"/>
    <s v="Credit Card"/>
    <s v="East"/>
    <s v="Premium"/>
    <d v="2023-03-08T00:00:00"/>
    <n v="3599.96"/>
  </r>
  <r>
    <s v="TRX0127"/>
    <d v="2024-06-29T00:00:00"/>
    <s v="CUST030"/>
    <x v="22"/>
    <s v="P008"/>
    <s v="Bookshelf"/>
    <x v="2"/>
    <n v="1"/>
    <n v="149.99"/>
    <s v="PayPal"/>
    <s v="East"/>
    <s v="Basic"/>
    <d v="2022-10-17T00:00:00"/>
    <n v="149.99"/>
  </r>
  <r>
    <s v="TRX0096"/>
    <d v="2024-07-01T00:00:00"/>
    <s v="CUST002"/>
    <x v="25"/>
    <s v="P010"/>
    <s v="Keyboard"/>
    <x v="0"/>
    <n v="2"/>
    <n v="89.99"/>
    <s v="PayPal"/>
    <s v="Central"/>
    <s v="Premium"/>
    <d v="2023-12-15T00:00:00"/>
    <n v="179.98"/>
  </r>
  <r>
    <s v="TRX0192"/>
    <d v="2024-07-02T00:00:00"/>
    <s v="CUST017"/>
    <x v="6"/>
    <s v="P010"/>
    <s v="Keyboard"/>
    <x v="0"/>
    <n v="1"/>
    <n v="89.99"/>
    <s v="PayPal"/>
    <s v="West"/>
    <s v="Standard"/>
    <d v="2022-08-29T00:00:00"/>
    <n v="89.99"/>
  </r>
  <r>
    <s v="TRX0052"/>
    <d v="2024-07-03T00:00:00"/>
    <s v="CUST022"/>
    <x v="9"/>
    <s v="P010"/>
    <s v="Keyboard"/>
    <x v="0"/>
    <n v="1"/>
    <n v="89.99"/>
    <s v="Cash"/>
    <s v="South"/>
    <s v="Standard"/>
    <d v="2022-02-19T00:00:00"/>
    <n v="89.99"/>
  </r>
  <r>
    <s v="TRX0070"/>
    <d v="2024-07-03T00:00:00"/>
    <s v="CUST007"/>
    <x v="35"/>
    <s v="P004"/>
    <s v="Coffee Maker"/>
    <x v="1"/>
    <n v="5"/>
    <n v="79.989999999999995"/>
    <s v="Debit Card"/>
    <s v="Central"/>
    <s v="Basic"/>
    <d v="2023-02-24T00:00:00"/>
    <n v="399.95"/>
  </r>
  <r>
    <s v="TRX0086"/>
    <d v="2024-07-08T00:00:00"/>
    <s v="CUST020"/>
    <x v="36"/>
    <s v="P008"/>
    <s v="Bookshelf"/>
    <x v="2"/>
    <n v="1"/>
    <n v="149.99"/>
    <s v="PayPal"/>
    <s v="North"/>
    <s v="Basic"/>
    <d v="2021-08-13T00:00:00"/>
    <n v="149.99"/>
  </r>
  <r>
    <s v="TRX0113"/>
    <d v="2024-07-08T00:00:00"/>
    <s v="CUST003"/>
    <x v="4"/>
    <s v="P002"/>
    <s v="Smartphone"/>
    <x v="0"/>
    <n v="2"/>
    <n v="699.99"/>
    <s v="PayPal"/>
    <s v="East"/>
    <s v="Premium"/>
    <d v="2024-04-07T00:00:00"/>
    <n v="1399.98"/>
  </r>
  <r>
    <s v="TRX0114"/>
    <d v="2024-07-08T00:00:00"/>
    <s v="CUST018"/>
    <x v="17"/>
    <s v="P010"/>
    <s v="Keyboard"/>
    <x v="0"/>
    <n v="5"/>
    <n v="89.99"/>
    <s v="Debit Card"/>
    <s v="North"/>
    <s v="Premium"/>
    <d v="2023-08-23T00:00:00"/>
    <n v="449.95"/>
  </r>
  <r>
    <s v="TRX0136"/>
    <d v="2024-07-09T00:00:00"/>
    <s v="CUST049"/>
    <x v="34"/>
    <s v="P005"/>
    <s v="Blender"/>
    <x v="1"/>
    <n v="4"/>
    <n v="59.99"/>
    <s v="Cash"/>
    <s v="South"/>
    <s v="Standard"/>
    <d v="2021-11-09T00:00:00"/>
    <n v="239.96"/>
  </r>
  <r>
    <s v="TRX0018"/>
    <d v="2024-07-11T00:00:00"/>
    <s v="CUST013"/>
    <x v="1"/>
    <s v="P003"/>
    <s v="Headphones"/>
    <x v="0"/>
    <n v="1"/>
    <n v="149.99"/>
    <s v="Cash"/>
    <s v="Central"/>
    <s v="Standard"/>
    <d v="2022-12-14T00:00:00"/>
    <n v="149.99"/>
  </r>
  <r>
    <s v="TRX0141"/>
    <d v="2024-07-11T00:00:00"/>
    <s v="CUST033"/>
    <x v="37"/>
    <s v="P007"/>
    <s v="Desk"/>
    <x v="2"/>
    <n v="1"/>
    <n v="299.99"/>
    <s v="Credit Card"/>
    <s v="North"/>
    <s v="Premium"/>
    <d v="2022-11-26T00:00:00"/>
    <n v="299.99"/>
  </r>
  <r>
    <s v="TRX0097"/>
    <d v="2024-07-14T00:00:00"/>
    <s v="CUST033"/>
    <x v="37"/>
    <s v="P006"/>
    <s v="Office Chair"/>
    <x v="2"/>
    <n v="2"/>
    <n v="199.99"/>
    <s v="Cash"/>
    <s v="North"/>
    <s v="Basic"/>
    <d v="2021-12-11T00:00:00"/>
    <n v="399.98"/>
  </r>
  <r>
    <s v="TRX0169"/>
    <d v="2024-07-17T00:00:00"/>
    <s v="CUST047"/>
    <x v="38"/>
    <s v="P005"/>
    <s v="Blender"/>
    <x v="1"/>
    <n v="3"/>
    <n v="59.99"/>
    <s v="Credit Card"/>
    <s v="West"/>
    <s v="Basic"/>
    <d v="2023-07-23T00:00:00"/>
    <n v="179.97"/>
  </r>
  <r>
    <s v="TRX0216"/>
    <d v="2024-07-17T00:00:00"/>
    <s v="CUST041"/>
    <x v="10"/>
    <s v="P008"/>
    <s v="Bookshelf"/>
    <x v="2"/>
    <n v="3"/>
    <n v="149.99"/>
    <s v="Cash"/>
    <s v="Central"/>
    <s v="Premium"/>
    <d v="2023-09-30T00:00:00"/>
    <n v="449.97"/>
  </r>
  <r>
    <s v="TRX0131"/>
    <d v="2024-07-18T00:00:00"/>
    <s v="CUST026"/>
    <x v="8"/>
    <s v="P006"/>
    <s v="Office Chair"/>
    <x v="2"/>
    <n v="3"/>
    <n v="199.99"/>
    <s v="Cash"/>
    <s v="North"/>
    <s v="Premium"/>
    <d v="2023-11-24T00:00:00"/>
    <n v="599.97"/>
  </r>
  <r>
    <s v="TRX0162"/>
    <d v="2024-07-23T00:00:00"/>
    <s v="CUST040"/>
    <x v="30"/>
    <s v="P001"/>
    <s v="Laptop"/>
    <x v="0"/>
    <n v="1"/>
    <n v="899.99"/>
    <s v="Cash"/>
    <s v="Central"/>
    <s v="Standard"/>
    <d v="2023-09-10T00:00:00"/>
    <n v="899.99"/>
  </r>
  <r>
    <s v="TRX0244"/>
    <d v="2024-07-24T00:00:00"/>
    <s v="CUST013"/>
    <x v="1"/>
    <s v="P001"/>
    <s v="Laptop"/>
    <x v="0"/>
    <n v="5"/>
    <n v="899.99"/>
    <s v="Debit Card"/>
    <s v="South"/>
    <s v="Standard"/>
    <d v="2022-12-04T00:00:00"/>
    <n v="4499.95"/>
  </r>
  <r>
    <s v="TRX0006"/>
    <d v="2024-07-25T00:00:00"/>
    <s v="CUST007"/>
    <x v="35"/>
    <s v="P005"/>
    <s v="Blender"/>
    <x v="1"/>
    <n v="2"/>
    <n v="59.99"/>
    <s v="Cash"/>
    <s v="North"/>
    <s v="Standard"/>
    <d v="2023-08-14T00:00:00"/>
    <n v="119.98"/>
  </r>
  <r>
    <s v="TRX0215"/>
    <d v="2024-07-25T00:00:00"/>
    <s v="CUST047"/>
    <x v="38"/>
    <s v="P009"/>
    <s v="Monitor"/>
    <x v="0"/>
    <n v="4"/>
    <n v="249.99"/>
    <s v="Debit Card"/>
    <s v="Central"/>
    <s v="Standard"/>
    <d v="2023-07-20T00:00:00"/>
    <n v="999.96"/>
  </r>
  <r>
    <s v="TRX0080"/>
    <d v="2024-07-27T00:00:00"/>
    <s v="CUST018"/>
    <x v="17"/>
    <s v="P009"/>
    <s v="Monitor"/>
    <x v="0"/>
    <n v="2"/>
    <n v="249.99"/>
    <s v="Cash"/>
    <s v="North"/>
    <s v="Premium"/>
    <d v="2023-08-26T00:00:00"/>
    <n v="499.98"/>
  </r>
  <r>
    <s v="TRX0228"/>
    <d v="2024-07-27T00:00:00"/>
    <s v="CUST019"/>
    <x v="29"/>
    <s v="P007"/>
    <s v="Desk"/>
    <x v="2"/>
    <n v="1"/>
    <n v="299.99"/>
    <s v="Cash"/>
    <s v="South"/>
    <s v="Basic"/>
    <d v="2023-02-25T00:00:00"/>
    <n v="299.99"/>
  </r>
  <r>
    <s v="TRX0157"/>
    <d v="2024-07-28T00:00:00"/>
    <s v="CUST025"/>
    <x v="14"/>
    <s v="P010"/>
    <s v="Keyboard"/>
    <x v="0"/>
    <n v="2"/>
    <n v="89.99"/>
    <s v="PayPal"/>
    <s v="South"/>
    <s v="Basic"/>
    <d v="2023-02-19T00:00:00"/>
    <n v="179.98"/>
  </r>
  <r>
    <s v="TRX0002"/>
    <d v="2024-07-28T00:00:00"/>
    <s v="CUST019"/>
    <x v="29"/>
    <s v="P007"/>
    <s v="Desk"/>
    <x v="2"/>
    <n v="3"/>
    <n v="299.99"/>
    <s v="Cash"/>
    <s v="Central"/>
    <s v="Basic"/>
    <d v="2022-06-20T00:00:00"/>
    <n v="899.97"/>
  </r>
  <r>
    <s v="TRX0217"/>
    <d v="2024-07-30T00:00:00"/>
    <s v="CUST025"/>
    <x v="14"/>
    <s v="P002"/>
    <s v="Smartphone"/>
    <x v="0"/>
    <n v="2"/>
    <n v="699.99"/>
    <s v="Credit Card"/>
    <s v="North"/>
    <s v="Premium"/>
    <d v="2023-03-14T00:00:00"/>
    <n v="1399.98"/>
  </r>
  <r>
    <s v="TRX0249"/>
    <d v="2024-07-31T00:00:00"/>
    <s v="CUST030"/>
    <x v="22"/>
    <s v="P001"/>
    <s v="Laptop"/>
    <x v="0"/>
    <n v="4"/>
    <n v="899.99"/>
    <s v="Debit Card"/>
    <s v="South"/>
    <s v="Standard"/>
    <d v="2021-11-23T00:00:00"/>
    <n v="3599.96"/>
  </r>
  <r>
    <s v="TRX0065"/>
    <d v="2024-08-05T00:00:00"/>
    <s v="CUST016"/>
    <x v="39"/>
    <s v="P008"/>
    <s v="Bookshelf"/>
    <x v="2"/>
    <n v="2"/>
    <n v="149.99"/>
    <s v="Credit Card"/>
    <s v="West"/>
    <s v="Basic"/>
    <d v="2021-12-12T00:00:00"/>
    <n v="299.98"/>
  </r>
  <r>
    <s v="TRX0176"/>
    <d v="2024-08-06T00:00:00"/>
    <s v="CUST044"/>
    <x v="19"/>
    <s v="P008"/>
    <s v="Bookshelf"/>
    <x v="2"/>
    <n v="2"/>
    <n v="149.99"/>
    <s v="Debit Card"/>
    <s v="East"/>
    <s v="Standard"/>
    <d v="2022-04-16T00:00:00"/>
    <n v="299.98"/>
  </r>
  <r>
    <s v="TRX0101"/>
    <d v="2024-08-09T00:00:00"/>
    <s v="CUST010"/>
    <x v="15"/>
    <s v="P010"/>
    <s v="Keyboard"/>
    <x v="0"/>
    <n v="1"/>
    <n v="89.99"/>
    <s v="Credit Card"/>
    <s v="North"/>
    <s v="Standard"/>
    <d v="2024-04-11T00:00:00"/>
    <n v="89.99"/>
  </r>
  <r>
    <s v="TRX0205"/>
    <d v="2024-08-11T00:00:00"/>
    <s v="CUST025"/>
    <x v="14"/>
    <s v="P007"/>
    <s v="Desk"/>
    <x v="2"/>
    <n v="5"/>
    <n v="299.99"/>
    <s v="Credit Card"/>
    <s v="North"/>
    <s v="Basic"/>
    <d v="2023-02-08T00:00:00"/>
    <n v="1499.95"/>
  </r>
  <r>
    <s v="TRX0020"/>
    <d v="2024-08-13T00:00:00"/>
    <s v="CUST007"/>
    <x v="35"/>
    <s v="P003"/>
    <s v="Headphones"/>
    <x v="0"/>
    <n v="4"/>
    <n v="149.99"/>
    <s v="Debit Card"/>
    <s v="South"/>
    <s v="Premium"/>
    <d v="2022-09-16T00:00:00"/>
    <n v="599.96"/>
  </r>
  <r>
    <s v="TRX0075"/>
    <d v="2024-08-13T00:00:00"/>
    <s v="CUST020"/>
    <x v="36"/>
    <s v="P009"/>
    <s v="Monitor"/>
    <x v="0"/>
    <n v="5"/>
    <n v="249.99"/>
    <s v="PayPal"/>
    <s v="East"/>
    <s v="Premium"/>
    <d v="2022-08-09T00:00:00"/>
    <n v="1249.95"/>
  </r>
  <r>
    <s v="TRX0098"/>
    <d v="2024-08-13T00:00:00"/>
    <s v="CUST026"/>
    <x v="8"/>
    <s v="P009"/>
    <s v="Monitor"/>
    <x v="0"/>
    <n v="3"/>
    <n v="249.99"/>
    <s v="PayPal"/>
    <s v="North"/>
    <s v="Premium"/>
    <d v="2021-09-26T00:00:00"/>
    <n v="749.97"/>
  </r>
  <r>
    <s v="TRX0247"/>
    <d v="2024-08-13T00:00:00"/>
    <s v="CUST046"/>
    <x v="3"/>
    <s v="P006"/>
    <s v="Office Chair"/>
    <x v="2"/>
    <n v="4"/>
    <n v="199.99"/>
    <s v="Cash"/>
    <s v="North"/>
    <s v="Standard"/>
    <d v="2021-09-19T00:00:00"/>
    <n v="799.96"/>
  </r>
  <r>
    <s v="TRX0027"/>
    <d v="2024-08-15T00:00:00"/>
    <s v="CUST028"/>
    <x v="32"/>
    <s v="P006"/>
    <s v="Office Chair"/>
    <x v="2"/>
    <n v="5"/>
    <n v="199.99"/>
    <s v="Cash"/>
    <s v="North"/>
    <s v="Premium"/>
    <d v="2023-03-06T00:00:00"/>
    <n v="999.95"/>
  </r>
  <r>
    <s v="TRX0140"/>
    <d v="2024-08-18T00:00:00"/>
    <s v="CUST025"/>
    <x v="14"/>
    <s v="P010"/>
    <s v="Keyboard"/>
    <x v="0"/>
    <n v="2"/>
    <n v="89.99"/>
    <s v="Cash"/>
    <s v="East"/>
    <s v="Premium"/>
    <d v="2023-02-15T00:00:00"/>
    <n v="179.98"/>
  </r>
  <r>
    <s v="TRX0132"/>
    <d v="2024-08-19T00:00:00"/>
    <s v="CUST047"/>
    <x v="38"/>
    <s v="P001"/>
    <s v="Laptop"/>
    <x v="0"/>
    <n v="5"/>
    <n v="899.99"/>
    <s v="Debit Card"/>
    <s v="East"/>
    <s v="Basic"/>
    <d v="2021-11-26T00:00:00"/>
    <n v="4499.95"/>
  </r>
  <r>
    <s v="TRX0031"/>
    <d v="2024-08-19T00:00:00"/>
    <s v="CUST036"/>
    <x v="20"/>
    <s v="P003"/>
    <s v="Headphones"/>
    <x v="0"/>
    <n v="3"/>
    <n v="149.99"/>
    <s v="PayPal"/>
    <s v="East"/>
    <s v="Basic"/>
    <d v="2022-01-13T00:00:00"/>
    <n v="449.97"/>
  </r>
  <r>
    <s v="TRX0236"/>
    <d v="2024-08-22T00:00:00"/>
    <s v="CUST044"/>
    <x v="19"/>
    <s v="P008"/>
    <s v="Bookshelf"/>
    <x v="2"/>
    <n v="5"/>
    <n v="149.99"/>
    <s v="Credit Card"/>
    <s v="Central"/>
    <s v="Basic"/>
    <d v="2024-01-19T00:00:00"/>
    <n v="749.95"/>
  </r>
  <r>
    <s v="TRX0001"/>
    <d v="2024-08-24T00:00:00"/>
    <s v="CUST039"/>
    <x v="40"/>
    <s v="P004"/>
    <s v="Coffee Maker"/>
    <x v="1"/>
    <n v="3"/>
    <n v="79.989999999999995"/>
    <s v="Cash"/>
    <s v="Central"/>
    <s v="Premium"/>
    <d v="2022-08-06T00:00:00"/>
    <n v="239.97"/>
  </r>
  <r>
    <s v="TRX0037"/>
    <d v="2024-08-24T00:00:00"/>
    <s v="CUST035"/>
    <x v="28"/>
    <s v="P009"/>
    <s v="Monitor"/>
    <x v="0"/>
    <n v="2"/>
    <n v="249.99"/>
    <s v="Cash"/>
    <s v="South"/>
    <s v="Standard"/>
    <d v="2022-01-11T00:00:00"/>
    <n v="499.98"/>
  </r>
  <r>
    <s v="TRX0058"/>
    <d v="2024-08-28T00:00:00"/>
    <s v="CUST047"/>
    <x v="38"/>
    <s v="P002"/>
    <s v="Smartphone"/>
    <x v="0"/>
    <n v="1"/>
    <n v="699.99"/>
    <s v="Cash"/>
    <s v="Central"/>
    <s v="Premium"/>
    <d v="2021-10-28T00:00:00"/>
    <n v="699.99"/>
  </r>
  <r>
    <s v="TRX0170"/>
    <d v="2024-08-28T00:00:00"/>
    <s v="CUST034"/>
    <x v="41"/>
    <s v="P003"/>
    <s v="Headphones"/>
    <x v="0"/>
    <n v="3"/>
    <n v="149.99"/>
    <s v="Cash"/>
    <s v="West"/>
    <s v="Premium"/>
    <d v="2023-10-13T00:00:00"/>
    <n v="449.97"/>
  </r>
  <r>
    <s v="TRX0248"/>
    <d v="2024-08-30T00:00:00"/>
    <s v="CUST032"/>
    <x v="42"/>
    <s v="P002"/>
    <s v="Smartphone"/>
    <x v="0"/>
    <n v="2"/>
    <n v="699.99"/>
    <s v="Credit Card"/>
    <s v="North"/>
    <s v="Premium"/>
    <d v="2021-08-13T00:00:00"/>
    <n v="1399.98"/>
  </r>
  <r>
    <s v="TRX0099"/>
    <d v="2024-09-02T00:00:00"/>
    <s v="CUST034"/>
    <x v="41"/>
    <s v="P009"/>
    <s v="Monitor"/>
    <x v="0"/>
    <n v="1"/>
    <n v="249.99"/>
    <s v="Credit Card"/>
    <s v="West"/>
    <s v="Premium"/>
    <d v="2022-05-04T00:00:00"/>
    <n v="249.99"/>
  </r>
  <r>
    <s v="TRX0074"/>
    <d v="2024-09-02T00:00:00"/>
    <s v="CUST023"/>
    <x v="0"/>
    <s v="P009"/>
    <s v="Monitor"/>
    <x v="0"/>
    <n v="1"/>
    <n v="249.99"/>
    <s v="Debit Card"/>
    <s v="North"/>
    <s v="Premium"/>
    <d v="2024-02-10T00:00:00"/>
    <n v="249.99"/>
  </r>
  <r>
    <s v="TRX0225"/>
    <d v="2024-09-03T00:00:00"/>
    <s v="CUST039"/>
    <x v="40"/>
    <s v="P002"/>
    <s v="Smartphone"/>
    <x v="0"/>
    <n v="2"/>
    <n v="699.99"/>
    <s v="Debit Card"/>
    <s v="Central"/>
    <s v="Premium"/>
    <d v="2022-11-05T00:00:00"/>
    <n v="1399.98"/>
  </r>
  <r>
    <s v="TRX0100"/>
    <d v="2024-09-06T00:00:00"/>
    <s v="CUST031"/>
    <x v="26"/>
    <s v="P005"/>
    <s v="Blender"/>
    <x v="1"/>
    <n v="3"/>
    <n v="59.99"/>
    <s v="Credit Card"/>
    <s v="Central"/>
    <s v="Premium"/>
    <d v="2022-06-05T00:00:00"/>
    <n v="179.97"/>
  </r>
  <r>
    <s v="TRX0142"/>
    <d v="2024-09-09T00:00:00"/>
    <s v="CUST002"/>
    <x v="25"/>
    <s v="P005"/>
    <s v="Blender"/>
    <x v="1"/>
    <n v="3"/>
    <n v="59.99"/>
    <s v="PayPal"/>
    <s v="East"/>
    <s v="Standard"/>
    <d v="2022-07-06T00:00:00"/>
    <n v="179.97"/>
  </r>
  <r>
    <s v="TRX0112"/>
    <d v="2024-09-09T00:00:00"/>
    <s v="CUST008"/>
    <x v="27"/>
    <s v="P004"/>
    <s v="Coffee Maker"/>
    <x v="1"/>
    <n v="4"/>
    <n v="79.989999999999995"/>
    <s v="Cash"/>
    <s v="North"/>
    <s v="Basic"/>
    <d v="2021-11-30T00:00:00"/>
    <n v="319.95999999999998"/>
  </r>
  <r>
    <s v="TRX0161"/>
    <d v="2024-09-10T00:00:00"/>
    <s v="CUST017"/>
    <x v="6"/>
    <s v="P004"/>
    <s v="Coffee Maker"/>
    <x v="1"/>
    <n v="1"/>
    <n v="79.989999999999995"/>
    <s v="Cash"/>
    <s v="West"/>
    <s v="Basic"/>
    <d v="2022-05-12T00:00:00"/>
    <n v="79.989999999999995"/>
  </r>
  <r>
    <s v="TRX0108"/>
    <d v="2024-09-12T00:00:00"/>
    <s v="CUST024"/>
    <x v="5"/>
    <s v="P007"/>
    <s v="Desk"/>
    <x v="2"/>
    <n v="3"/>
    <n v="299.99"/>
    <s v="Credit Card"/>
    <s v="Central"/>
    <s v="Premium"/>
    <d v="2021-10-25T00:00:00"/>
    <n v="899.97"/>
  </r>
  <r>
    <s v="TRX0211"/>
    <d v="2024-09-13T00:00:00"/>
    <s v="CUST046"/>
    <x v="3"/>
    <s v="P010"/>
    <s v="Keyboard"/>
    <x v="0"/>
    <n v="2"/>
    <n v="89.99"/>
    <s v="Credit Card"/>
    <s v="South"/>
    <s v="Premium"/>
    <d v="2022-03-21T00:00:00"/>
    <n v="179.98"/>
  </r>
  <r>
    <s v="TRX0005"/>
    <d v="2024-09-15T00:00:00"/>
    <s v="CUST042"/>
    <x v="43"/>
    <s v="P003"/>
    <s v="Headphones"/>
    <x v="0"/>
    <n v="4"/>
    <n v="149.99"/>
    <s v="Cash"/>
    <s v="North"/>
    <s v="Basic"/>
    <d v="2022-12-14T00:00:00"/>
    <n v="599.96"/>
  </r>
  <r>
    <s v="TRX0195"/>
    <d v="2024-09-16T00:00:00"/>
    <s v="CUST026"/>
    <x v="8"/>
    <s v="P009"/>
    <s v="Monitor"/>
    <x v="0"/>
    <n v="2"/>
    <n v="249.99"/>
    <s v="PayPal"/>
    <s v="South"/>
    <s v="Basic"/>
    <d v="2023-03-08T00:00:00"/>
    <n v="499.98"/>
  </r>
  <r>
    <s v="TRX0054"/>
    <d v="2024-09-16T00:00:00"/>
    <s v="CUST004"/>
    <x v="31"/>
    <s v="P006"/>
    <s v="Office Chair"/>
    <x v="2"/>
    <n v="4"/>
    <n v="199.99"/>
    <s v="Debit Card"/>
    <s v="East"/>
    <s v="Basic"/>
    <d v="2021-09-19T00:00:00"/>
    <n v="799.96"/>
  </r>
  <r>
    <s v="TRX0077"/>
    <d v="2024-09-19T00:00:00"/>
    <s v="CUST019"/>
    <x v="29"/>
    <s v="P010"/>
    <s v="Keyboard"/>
    <x v="0"/>
    <n v="5"/>
    <n v="89.99"/>
    <s v="Credit Card"/>
    <s v="East"/>
    <s v="Premium"/>
    <d v="2021-09-07T00:00:00"/>
    <n v="449.95"/>
  </r>
  <r>
    <s v="TRX0111"/>
    <d v="2024-09-19T00:00:00"/>
    <s v="CUST011"/>
    <x v="44"/>
    <s v="P003"/>
    <s v="Headphones"/>
    <x v="0"/>
    <n v="1"/>
    <n v="149.99"/>
    <s v="PayPal"/>
    <s v="East"/>
    <s v="Standard"/>
    <d v="2021-10-13T00:00:00"/>
    <n v="149.99"/>
  </r>
  <r>
    <s v="TRX0123"/>
    <d v="2024-09-19T00:00:00"/>
    <s v="CUST041"/>
    <x v="10"/>
    <s v="P002"/>
    <s v="Smartphone"/>
    <x v="0"/>
    <n v="4"/>
    <n v="699.99"/>
    <s v="PayPal"/>
    <s v="South"/>
    <s v="Basic"/>
    <d v="2022-02-26T00:00:00"/>
    <n v="2799.96"/>
  </r>
  <r>
    <s v="TRX0177"/>
    <d v="2024-09-24T00:00:00"/>
    <s v="CUST032"/>
    <x v="42"/>
    <s v="P001"/>
    <s v="Laptop"/>
    <x v="0"/>
    <n v="3"/>
    <n v="899.99"/>
    <s v="Credit Card"/>
    <s v="North"/>
    <s v="Standard"/>
    <d v="2023-08-19T00:00:00"/>
    <n v="2699.97"/>
  </r>
  <r>
    <s v="TRX0119"/>
    <d v="2024-09-25T00:00:00"/>
    <s v="CUST014"/>
    <x v="21"/>
    <s v="P008"/>
    <s v="Bookshelf"/>
    <x v="2"/>
    <n v="3"/>
    <n v="149.99"/>
    <s v="PayPal"/>
    <s v="East"/>
    <s v="Basic"/>
    <d v="2022-11-21T00:00:00"/>
    <n v="449.97"/>
  </r>
  <r>
    <s v="TRX0181"/>
    <d v="2024-09-28T00:00:00"/>
    <s v="CUST012"/>
    <x v="18"/>
    <s v="P007"/>
    <s v="Desk"/>
    <x v="2"/>
    <n v="2"/>
    <n v="299.99"/>
    <s v="Debit Card"/>
    <s v="Central"/>
    <s v="Basic"/>
    <d v="2022-01-08T00:00:00"/>
    <n v="599.98"/>
  </r>
  <r>
    <s v="TRX0129"/>
    <d v="2024-09-29T00:00:00"/>
    <s v="CUST015"/>
    <x v="45"/>
    <s v="P006"/>
    <s v="Office Chair"/>
    <x v="2"/>
    <n v="1"/>
    <n v="199.99"/>
    <s v="Debit Card"/>
    <s v="East"/>
    <s v="Standard"/>
    <d v="2023-01-27T00:00:00"/>
    <n v="199.99"/>
  </r>
  <r>
    <s v="TRX0174"/>
    <d v="2024-10-01T00:00:00"/>
    <s v="CUST003"/>
    <x v="4"/>
    <s v="P007"/>
    <s v="Desk"/>
    <x v="2"/>
    <n v="4"/>
    <n v="299.99"/>
    <s v="Cash"/>
    <s v="Central"/>
    <s v="Premium"/>
    <d v="2021-09-21T00:00:00"/>
    <n v="1199.96"/>
  </r>
  <r>
    <s v="TRX0146"/>
    <d v="2024-10-07T00:00:00"/>
    <s v="CUST010"/>
    <x v="15"/>
    <s v="P005"/>
    <s v="Blender"/>
    <x v="1"/>
    <n v="2"/>
    <n v="59.99"/>
    <s v="Credit Card"/>
    <s v="Central"/>
    <s v="Basic"/>
    <d v="2022-01-18T00:00:00"/>
    <n v="119.98"/>
  </r>
  <r>
    <s v="TRX0203"/>
    <d v="2024-10-07T00:00:00"/>
    <s v="CUST032"/>
    <x v="42"/>
    <s v="P003"/>
    <s v="Headphones"/>
    <x v="0"/>
    <n v="4"/>
    <n v="149.99"/>
    <s v="Credit Card"/>
    <s v="North"/>
    <s v="Premium"/>
    <d v="2023-05-30T00:00:00"/>
    <n v="599.96"/>
  </r>
  <r>
    <s v="TRX0055"/>
    <d v="2024-10-08T00:00:00"/>
    <s v="CUST016"/>
    <x v="39"/>
    <s v="P002"/>
    <s v="Smartphone"/>
    <x v="0"/>
    <n v="2"/>
    <n v="699.99"/>
    <s v="Debit Card"/>
    <s v="East"/>
    <s v="Premium"/>
    <d v="2023-12-14T00:00:00"/>
    <n v="1399.98"/>
  </r>
  <r>
    <s v="TRX0218"/>
    <d v="2024-10-08T00:00:00"/>
    <s v="CUST034"/>
    <x v="41"/>
    <s v="P008"/>
    <s v="Bookshelf"/>
    <x v="2"/>
    <n v="3"/>
    <n v="149.99"/>
    <s v="Credit Card"/>
    <s v="South"/>
    <s v="Standard"/>
    <d v="2023-01-14T00:00:00"/>
    <n v="449.97"/>
  </r>
  <r>
    <s v="TRX0085"/>
    <d v="2024-10-11T00:00:00"/>
    <s v="CUST019"/>
    <x v="29"/>
    <s v="P007"/>
    <s v="Desk"/>
    <x v="2"/>
    <n v="3"/>
    <n v="299.99"/>
    <s v="Credit Card"/>
    <s v="Central"/>
    <s v="Standard"/>
    <d v="2023-09-05T00:00:00"/>
    <n v="899.97"/>
  </r>
  <r>
    <s v="TRX0158"/>
    <d v="2024-10-14T00:00:00"/>
    <s v="CUST027"/>
    <x v="13"/>
    <s v="P001"/>
    <s v="Laptop"/>
    <x v="0"/>
    <n v="3"/>
    <n v="899.99"/>
    <s v="PayPal"/>
    <s v="West"/>
    <s v="Basic"/>
    <d v="2023-10-16T00:00:00"/>
    <n v="2699.97"/>
  </r>
  <r>
    <s v="TRX0173"/>
    <d v="2024-10-16T00:00:00"/>
    <s v="CUST018"/>
    <x v="17"/>
    <s v="P002"/>
    <s v="Smartphone"/>
    <x v="0"/>
    <n v="5"/>
    <n v="699.99"/>
    <s v="Cash"/>
    <s v="East"/>
    <s v="Standard"/>
    <d v="2023-03-23T00:00:00"/>
    <n v="3499.95"/>
  </r>
  <r>
    <s v="TRX0034"/>
    <d v="2024-10-16T00:00:00"/>
    <s v="CUST049"/>
    <x v="34"/>
    <s v="P002"/>
    <s v="Smartphone"/>
    <x v="0"/>
    <n v="4"/>
    <n v="699.99"/>
    <s v="Credit Card"/>
    <s v="Central"/>
    <s v="Basic"/>
    <d v="2024-04-03T00:00:00"/>
    <n v="2799.96"/>
  </r>
  <r>
    <s v="TRX0189"/>
    <d v="2024-10-16T00:00:00"/>
    <s v="CUST040"/>
    <x v="30"/>
    <s v="P001"/>
    <s v="Laptop"/>
    <x v="0"/>
    <n v="1"/>
    <n v="899.99"/>
    <s v="Credit Card"/>
    <s v="East"/>
    <s v="Standard"/>
    <d v="2024-03-18T00:00:00"/>
    <n v="899.99"/>
  </r>
  <r>
    <s v="TRX0190"/>
    <d v="2024-10-18T00:00:00"/>
    <s v="CUST039"/>
    <x v="40"/>
    <s v="P003"/>
    <s v="Headphones"/>
    <x v="0"/>
    <n v="2"/>
    <n v="149.99"/>
    <s v="Credit Card"/>
    <s v="West"/>
    <s v="Basic"/>
    <d v="2022-12-21T00:00:00"/>
    <n v="299.98"/>
  </r>
  <r>
    <s v="TRX0079"/>
    <d v="2024-10-21T00:00:00"/>
    <s v="CUST039"/>
    <x v="40"/>
    <s v="P010"/>
    <s v="Keyboard"/>
    <x v="0"/>
    <n v="3"/>
    <n v="89.99"/>
    <s v="PayPal"/>
    <s v="Central"/>
    <s v="Basic"/>
    <d v="2021-12-21T00:00:00"/>
    <n v="269.97000000000003"/>
  </r>
  <r>
    <s v="TRX0095"/>
    <d v="2024-10-23T00:00:00"/>
    <s v="CUST046"/>
    <x v="3"/>
    <s v="P003"/>
    <s v="Headphones"/>
    <x v="0"/>
    <n v="2"/>
    <n v="149.99"/>
    <s v="PayPal"/>
    <s v="Central"/>
    <s v="Basic"/>
    <d v="2021-10-04T00:00:00"/>
    <n v="299.98"/>
  </r>
  <r>
    <s v="TRX0009"/>
    <d v="2024-10-23T00:00:00"/>
    <s v="CUST004"/>
    <x v="31"/>
    <s v="P002"/>
    <s v="Smartphone"/>
    <x v="0"/>
    <n v="2"/>
    <n v="699.99"/>
    <s v="Cash"/>
    <s v="Central"/>
    <s v="Basic"/>
    <d v="2023-03-07T00:00:00"/>
    <n v="1399.98"/>
  </r>
  <r>
    <s v="TRX0167"/>
    <d v="2024-10-24T00:00:00"/>
    <s v="CUST028"/>
    <x v="32"/>
    <s v="P002"/>
    <s v="Smartphone"/>
    <x v="0"/>
    <n v="5"/>
    <n v="699.99"/>
    <s v="Cash"/>
    <s v="North"/>
    <s v="Premium"/>
    <d v="2022-03-15T00:00:00"/>
    <n v="3499.95"/>
  </r>
  <r>
    <s v="TRX0153"/>
    <d v="2024-10-27T00:00:00"/>
    <s v="CUST049"/>
    <x v="34"/>
    <s v="P010"/>
    <s v="Keyboard"/>
    <x v="0"/>
    <n v="3"/>
    <n v="89.99"/>
    <s v="Credit Card"/>
    <s v="North"/>
    <s v="Standard"/>
    <d v="2022-02-23T00:00:00"/>
    <n v="269.97000000000003"/>
  </r>
  <r>
    <s v="TRX0057"/>
    <d v="2024-11-01T00:00:00"/>
    <s v="CUST023"/>
    <x v="0"/>
    <s v="P009"/>
    <s v="Monitor"/>
    <x v="0"/>
    <n v="5"/>
    <n v="249.99"/>
    <s v="Credit Card"/>
    <s v="South"/>
    <s v="Standard"/>
    <d v="2022-11-16T00:00:00"/>
    <n v="1249.95"/>
  </r>
  <r>
    <s v="TRX0017"/>
    <d v="2024-11-04T00:00:00"/>
    <s v="CUST026"/>
    <x v="8"/>
    <s v="P007"/>
    <s v="Desk"/>
    <x v="2"/>
    <n v="3"/>
    <n v="299.99"/>
    <s v="Credit Card"/>
    <s v="South"/>
    <s v="Standard"/>
    <d v="2021-11-02T00:00:00"/>
    <n v="899.97"/>
  </r>
  <r>
    <s v="TRX0060"/>
    <d v="2024-11-07T00:00:00"/>
    <s v="CUST012"/>
    <x v="18"/>
    <s v="P010"/>
    <s v="Keyboard"/>
    <x v="0"/>
    <n v="3"/>
    <n v="89.99"/>
    <s v="Credit Card"/>
    <s v="North"/>
    <s v="Premium"/>
    <d v="2021-08-12T00:00:00"/>
    <n v="269.97000000000003"/>
  </r>
  <r>
    <s v="TRX0109"/>
    <d v="2024-11-08T00:00:00"/>
    <s v="CUST010"/>
    <x v="15"/>
    <s v="P008"/>
    <s v="Bookshelf"/>
    <x v="2"/>
    <n v="2"/>
    <n v="149.99"/>
    <s v="Credit Card"/>
    <s v="West"/>
    <s v="Premium"/>
    <d v="2022-10-14T00:00:00"/>
    <n v="299.98"/>
  </r>
  <r>
    <s v="TRX0090"/>
    <d v="2024-11-09T00:00:00"/>
    <s v="CUST020"/>
    <x v="36"/>
    <s v="P009"/>
    <s v="Monitor"/>
    <x v="0"/>
    <n v="1"/>
    <n v="249.99"/>
    <s v="Credit Card"/>
    <s v="North"/>
    <s v="Premium"/>
    <d v="2022-09-24T00:00:00"/>
    <n v="249.99"/>
  </r>
  <r>
    <s v="TRX0035"/>
    <d v="2024-11-11T00:00:00"/>
    <s v="CUST041"/>
    <x v="10"/>
    <s v="P003"/>
    <s v="Headphones"/>
    <x v="0"/>
    <n v="3"/>
    <n v="149.99"/>
    <s v="Cash"/>
    <s v="North"/>
    <s v="Basic"/>
    <d v="2022-07-27T00:00:00"/>
    <n v="449.97"/>
  </r>
  <r>
    <s v="TRX0172"/>
    <d v="2024-11-11T00:00:00"/>
    <s v="CUST023"/>
    <x v="0"/>
    <s v="P005"/>
    <s v="Blender"/>
    <x v="1"/>
    <n v="5"/>
    <n v="59.99"/>
    <s v="PayPal"/>
    <s v="West"/>
    <s v="Premium"/>
    <d v="2022-05-13T00:00:00"/>
    <n v="299.95"/>
  </r>
  <r>
    <s v="TRX0076"/>
    <d v="2024-11-11T00:00:00"/>
    <s v="CUST012"/>
    <x v="18"/>
    <s v="P009"/>
    <s v="Monitor"/>
    <x v="0"/>
    <n v="4"/>
    <n v="249.99"/>
    <s v="Credit Card"/>
    <s v="West"/>
    <s v="Standard"/>
    <d v="2022-04-08T00:00:00"/>
    <n v="999.96"/>
  </r>
  <r>
    <s v="TRX0210"/>
    <d v="2024-11-12T00:00:00"/>
    <s v="CUST004"/>
    <x v="31"/>
    <s v="P008"/>
    <s v="Bookshelf"/>
    <x v="2"/>
    <n v="5"/>
    <n v="149.99"/>
    <s v="PayPal"/>
    <s v="Central"/>
    <s v="Basic"/>
    <d v="2022-12-06T00:00:00"/>
    <n v="749.95"/>
  </r>
  <r>
    <s v="TRX0149"/>
    <d v="2024-11-12T00:00:00"/>
    <s v="CUST027"/>
    <x v="13"/>
    <s v="P005"/>
    <s v="Blender"/>
    <x v="1"/>
    <n v="3"/>
    <n v="59.99"/>
    <s v="Debit Card"/>
    <s v="South"/>
    <s v="Standard"/>
    <d v="2023-11-30T00:00:00"/>
    <n v="179.97"/>
  </r>
  <r>
    <s v="TRX0073"/>
    <d v="2024-11-17T00:00:00"/>
    <s v="CUST032"/>
    <x v="42"/>
    <s v="P008"/>
    <s v="Bookshelf"/>
    <x v="2"/>
    <n v="5"/>
    <n v="149.99"/>
    <s v="Cash"/>
    <s v="North"/>
    <s v="Basic"/>
    <d v="2022-11-04T00:00:00"/>
    <n v="749.95"/>
  </r>
  <r>
    <s v="TRX0033"/>
    <d v="2024-11-17T00:00:00"/>
    <s v="CUST025"/>
    <x v="14"/>
    <s v="P002"/>
    <s v="Smartphone"/>
    <x v="0"/>
    <n v="2"/>
    <n v="699.99"/>
    <s v="PayPal"/>
    <s v="West"/>
    <s v="Standard"/>
    <d v="2022-07-28T00:00:00"/>
    <n v="1399.98"/>
  </r>
  <r>
    <s v="TRX0160"/>
    <d v="2024-11-21T00:00:00"/>
    <s v="CUST029"/>
    <x v="23"/>
    <s v="P006"/>
    <s v="Office Chair"/>
    <x v="2"/>
    <n v="4"/>
    <n v="199.99"/>
    <s v="Debit Card"/>
    <s v="Central"/>
    <s v="Premium"/>
    <d v="2021-08-19T00:00:00"/>
    <n v="799.96"/>
  </r>
  <r>
    <s v="TRX0145"/>
    <d v="2024-11-23T00:00:00"/>
    <s v="CUST033"/>
    <x v="37"/>
    <s v="P005"/>
    <s v="Blender"/>
    <x v="1"/>
    <n v="1"/>
    <n v="59.99"/>
    <s v="Debit Card"/>
    <s v="West"/>
    <s v="Standard"/>
    <d v="2021-12-30T00:00:00"/>
    <n v="59.99"/>
  </r>
  <r>
    <s v="TRX0148"/>
    <d v="2024-11-23T00:00:00"/>
    <s v="CUST004"/>
    <x v="31"/>
    <s v="P002"/>
    <s v="Smartphone"/>
    <x v="0"/>
    <n v="3"/>
    <n v="699.99"/>
    <s v="PayPal"/>
    <s v="West"/>
    <s v="Standard"/>
    <d v="2022-01-22T00:00:00"/>
    <n v="2099.9699999999998"/>
  </r>
  <r>
    <s v="TRX0012"/>
    <d v="2024-11-26T00:00:00"/>
    <s v="CUST045"/>
    <x v="46"/>
    <s v="P009"/>
    <s v="Monitor"/>
    <x v="0"/>
    <n v="5"/>
    <n v="249.99"/>
    <s v="Credit Card"/>
    <s v="North"/>
    <s v="Basic"/>
    <d v="2022-11-08T00:00:00"/>
    <n v="1249.95"/>
  </r>
  <r>
    <s v="TRX0206"/>
    <d v="2024-11-27T00:00:00"/>
    <s v="CUST014"/>
    <x v="21"/>
    <s v="P008"/>
    <s v="Bookshelf"/>
    <x v="2"/>
    <n v="2"/>
    <n v="149.99"/>
    <s v="Cash"/>
    <s v="South"/>
    <s v="Standard"/>
    <d v="2023-06-24T00:00:00"/>
    <n v="299.98"/>
  </r>
  <r>
    <s v="TRX0045"/>
    <d v="2024-12-01T00:00:00"/>
    <s v="CUST021"/>
    <x v="2"/>
    <s v="P007"/>
    <s v="Desk"/>
    <x v="2"/>
    <n v="3"/>
    <n v="299.99"/>
    <s v="Cash"/>
    <s v="South"/>
    <s v="Premium"/>
    <d v="2022-04-08T00:00:00"/>
    <n v="899.97"/>
  </r>
  <r>
    <s v="TRX0094"/>
    <d v="2024-12-01T00:00:00"/>
    <s v="CUST017"/>
    <x v="6"/>
    <s v="P009"/>
    <s v="Monitor"/>
    <x v="0"/>
    <n v="5"/>
    <n v="249.99"/>
    <s v="Cash"/>
    <s v="Central"/>
    <s v="Premium"/>
    <d v="2021-10-16T00:00:00"/>
    <n v="1249.95"/>
  </r>
  <r>
    <s v="TRX0133"/>
    <d v="2024-12-01T00:00:00"/>
    <s v="CUST013"/>
    <x v="1"/>
    <s v="P003"/>
    <s v="Headphones"/>
    <x v="0"/>
    <n v="2"/>
    <n v="149.99"/>
    <s v="Cash"/>
    <s v="South"/>
    <s v="Premium"/>
    <d v="2021-10-06T00:00:00"/>
    <n v="299.98"/>
  </r>
  <r>
    <s v="TRX0201"/>
    <d v="2024-12-01T00:00:00"/>
    <s v="CUST025"/>
    <x v="14"/>
    <s v="P002"/>
    <s v="Smartphone"/>
    <x v="0"/>
    <n v="5"/>
    <n v="699.99"/>
    <s v="Debit Card"/>
    <s v="West"/>
    <s v="Standard"/>
    <d v="2023-01-18T00:00:00"/>
    <n v="3499.95"/>
  </r>
  <r>
    <s v="TRX0137"/>
    <d v="2024-12-03T00:00:00"/>
    <s v="CUST011"/>
    <x v="44"/>
    <s v="P009"/>
    <s v="Monitor"/>
    <x v="0"/>
    <n v="4"/>
    <n v="249.99"/>
    <s v="PayPal"/>
    <s v="East"/>
    <s v="Premium"/>
    <d v="2023-06-21T00:00:00"/>
    <n v="999.96"/>
  </r>
  <r>
    <s v="TRX0066"/>
    <d v="2024-12-04T00:00:00"/>
    <s v="CUST024"/>
    <x v="5"/>
    <s v="P002"/>
    <s v="Smartphone"/>
    <x v="0"/>
    <n v="4"/>
    <n v="699.99"/>
    <s v="Credit Card"/>
    <s v="North"/>
    <s v="Premium"/>
    <d v="2022-05-22T00:00:00"/>
    <n v="2799.96"/>
  </r>
  <r>
    <s v="TRX0180"/>
    <d v="2024-12-09T00:00:00"/>
    <s v="CUST036"/>
    <x v="20"/>
    <s v="P009"/>
    <s v="Monitor"/>
    <x v="0"/>
    <n v="2"/>
    <n v="249.99"/>
    <s v="Credit Card"/>
    <s v="Central"/>
    <s v="Premium"/>
    <d v="2021-07-19T00:00:00"/>
    <n v="499.98"/>
  </r>
  <r>
    <s v="TRX0082"/>
    <d v="2024-12-09T00:00:00"/>
    <s v="CUST005"/>
    <x v="47"/>
    <s v="P005"/>
    <s v="Blender"/>
    <x v="1"/>
    <n v="3"/>
    <n v="59.99"/>
    <s v="Cash"/>
    <s v="Central"/>
    <s v="Premium"/>
    <d v="2023-05-06T00:00:00"/>
    <n v="179.97"/>
  </r>
  <r>
    <s v="TRX0036"/>
    <d v="2024-12-09T00:00:00"/>
    <s v="CUST008"/>
    <x v="27"/>
    <s v="P004"/>
    <s v="Coffee Maker"/>
    <x v="1"/>
    <n v="4"/>
    <n v="79.989999999999995"/>
    <s v="Debit Card"/>
    <s v="East"/>
    <s v="Standard"/>
    <d v="2022-12-26T00:00:00"/>
    <n v="319.95999999999998"/>
  </r>
  <r>
    <s v="TRX0198"/>
    <d v="2024-12-10T00:00:00"/>
    <s v="CUST030"/>
    <x v="22"/>
    <s v="P004"/>
    <s v="Coffee Maker"/>
    <x v="1"/>
    <n v="3"/>
    <n v="79.989999999999995"/>
    <s v="Debit Card"/>
    <s v="East"/>
    <s v="Standard"/>
    <d v="2022-08-06T00:00:00"/>
    <n v="239.97"/>
  </r>
  <r>
    <s v="TRX0032"/>
    <d v="2024-12-12T00:00:00"/>
    <s v="CUST041"/>
    <x v="10"/>
    <s v="P001"/>
    <s v="Laptop"/>
    <x v="0"/>
    <n v="2"/>
    <n v="899.99"/>
    <s v="Cash"/>
    <s v="North"/>
    <s v="Basic"/>
    <d v="2021-07-29T00:00:00"/>
    <n v="1799.98"/>
  </r>
  <r>
    <s v="TRX0081"/>
    <d v="2024-12-15T00:00:00"/>
    <s v="CUST007"/>
    <x v="35"/>
    <s v="P008"/>
    <s v="Bookshelf"/>
    <x v="2"/>
    <n v="1"/>
    <n v="149.99"/>
    <s v="Debit Card"/>
    <s v="East"/>
    <s v="Standard"/>
    <d v="2023-10-01T00:00:00"/>
    <n v="149.99"/>
  </r>
  <r>
    <s v="TRX0224"/>
    <d v="2024-12-15T00:00:00"/>
    <s v="CUST031"/>
    <x v="26"/>
    <s v="P007"/>
    <s v="Desk"/>
    <x v="2"/>
    <n v="2"/>
    <n v="299.99"/>
    <s v="Cash"/>
    <s v="East"/>
    <s v="Premium"/>
    <d v="2022-06-12T00:00:00"/>
    <n v="599.98"/>
  </r>
  <r>
    <s v="TRX0028"/>
    <d v="2024-12-18T00:00:00"/>
    <s v="CUST002"/>
    <x v="25"/>
    <s v="P005"/>
    <s v="Blender"/>
    <x v="1"/>
    <n v="2"/>
    <n v="59.99"/>
    <s v="Cash"/>
    <s v="West"/>
    <s v="Basic"/>
    <d v="2023-09-22T00:00:00"/>
    <n v="119.98"/>
  </r>
  <r>
    <s v="TRX0183"/>
    <d v="2024-12-19T00:00:00"/>
    <s v="CUST007"/>
    <x v="35"/>
    <s v="P010"/>
    <s v="Keyboard"/>
    <x v="0"/>
    <n v="1"/>
    <n v="89.99"/>
    <s v="Debit Card"/>
    <s v="Central"/>
    <s v="Standard"/>
    <d v="2022-07-18T00:00:00"/>
    <n v="89.99"/>
  </r>
  <r>
    <s v="TRX0163"/>
    <d v="2024-12-19T00:00:00"/>
    <s v="CUST019"/>
    <x v="29"/>
    <s v="P001"/>
    <s v="Laptop"/>
    <x v="0"/>
    <n v="5"/>
    <n v="899.99"/>
    <s v="Debit Card"/>
    <s v="East"/>
    <s v="Standard"/>
    <d v="2022-03-05T00:00:00"/>
    <n v="4499.95"/>
  </r>
  <r>
    <s v="TRX0046"/>
    <d v="2024-12-20T00:00:00"/>
    <s v="CUST003"/>
    <x v="4"/>
    <s v="P008"/>
    <s v="Bookshelf"/>
    <x v="2"/>
    <n v="2"/>
    <n v="149.99"/>
    <s v="Cash"/>
    <s v="South"/>
    <s v="Basic"/>
    <d v="2023-11-09T00:00:00"/>
    <n v="299.98"/>
  </r>
  <r>
    <s v="TRX0164"/>
    <d v="2024-12-22T00:00:00"/>
    <s v="CUST014"/>
    <x v="21"/>
    <s v="P003"/>
    <s v="Headphones"/>
    <x v="0"/>
    <n v="2"/>
    <n v="149.99"/>
    <s v="Debit Card"/>
    <s v="West"/>
    <s v="Premium"/>
    <d v="2023-12-20T00:00:00"/>
    <n v="299.98"/>
  </r>
  <r>
    <s v="TRX0008"/>
    <d v="2024-12-22T00:00:00"/>
    <s v="CUST007"/>
    <x v="35"/>
    <s v="P008"/>
    <s v="Bookshelf"/>
    <x v="2"/>
    <n v="3"/>
    <n v="149.99"/>
    <s v="Debit Card"/>
    <s v="North"/>
    <s v="Standard"/>
    <d v="2021-11-22T00:00:00"/>
    <n v="449.97"/>
  </r>
  <r>
    <s v="TRX0171"/>
    <d v="2024-12-23T00:00:00"/>
    <s v="CUST021"/>
    <x v="2"/>
    <s v="P007"/>
    <s v="Desk"/>
    <x v="2"/>
    <n v="2"/>
    <n v="299.99"/>
    <s v="PayPal"/>
    <s v="South"/>
    <s v="Basic"/>
    <d v="2022-06-09T00:00:00"/>
    <n v="599.98"/>
  </r>
  <r>
    <s v="TRX0143"/>
    <d v="2024-12-28T00:00:00"/>
    <s v="CUST003"/>
    <x v="4"/>
    <s v="P007"/>
    <s v="Desk"/>
    <x v="2"/>
    <n v="2"/>
    <n v="299.99"/>
    <s v="Cash"/>
    <s v="West"/>
    <s v="Basic"/>
    <d v="2022-07-29T00:00:00"/>
    <n v="599.98"/>
  </r>
  <r>
    <s v="TRX0165"/>
    <d v="2024-12-28T00:00:00"/>
    <s v="CUST030"/>
    <x v="22"/>
    <s v="P006"/>
    <s v="Office Chair"/>
    <x v="2"/>
    <n v="4"/>
    <n v="199.99"/>
    <s v="Credit Card"/>
    <s v="Central"/>
    <s v="Basic"/>
    <d v="2021-11-23T00:00:00"/>
    <n v="799.96"/>
  </r>
  <r>
    <s v="TRX0156"/>
    <d v="2024-12-29T00:00:00"/>
    <s v="CUST009"/>
    <x v="7"/>
    <s v="P010"/>
    <s v="Keyboard"/>
    <x v="0"/>
    <n v="1"/>
    <n v="89.99"/>
    <s v="Credit Card"/>
    <s v="South"/>
    <s v="Premium"/>
    <d v="2022-01-30T00:00:00"/>
    <n v="89.99"/>
  </r>
  <r>
    <s v="TRX0147"/>
    <d v="2024-12-29T00:00:00"/>
    <s v="CUST036"/>
    <x v="20"/>
    <s v="P008"/>
    <s v="Bookshelf"/>
    <x v="2"/>
    <n v="5"/>
    <n v="149.99"/>
    <s v="Cash"/>
    <s v="Central"/>
    <s v="Premium"/>
    <d v="2024-02-25T00:00:00"/>
    <n v="749.95"/>
  </r>
  <r>
    <s v="TRX0207"/>
    <d v="2024-12-31T00:00:00"/>
    <s v="CUST025"/>
    <x v="14"/>
    <s v="P001"/>
    <s v="Laptop"/>
    <x v="0"/>
    <n v="1"/>
    <n v="899.99"/>
    <s v="PayPal"/>
    <s v="North"/>
    <s v="Premium"/>
    <d v="2023-05-04T00:00:00"/>
    <n v="899.99"/>
  </r>
  <r>
    <s v="TRX0056"/>
    <d v="2025-01-03T00:00:00"/>
    <s v="CUST019"/>
    <x v="29"/>
    <s v="P010"/>
    <s v="Keyboard"/>
    <x v="0"/>
    <n v="2"/>
    <n v="89.99"/>
    <s v="Credit Card"/>
    <s v="South"/>
    <s v="Premium"/>
    <d v="2022-01-03T00:00:00"/>
    <n v="179.98"/>
  </r>
  <r>
    <s v="TRX0026"/>
    <d v="2025-01-04T00:00:00"/>
    <s v="CUST037"/>
    <x v="48"/>
    <s v="P001"/>
    <s v="Laptop"/>
    <x v="0"/>
    <n v="1"/>
    <n v="899.99"/>
    <s v="PayPal"/>
    <s v="North"/>
    <s v="Standard"/>
    <d v="2022-07-10T00:00:00"/>
    <n v="899.99"/>
  </r>
  <r>
    <s v="TRX0237"/>
    <d v="2025-01-06T00:00:00"/>
    <s v="CUST006"/>
    <x v="24"/>
    <s v="P003"/>
    <s v="Headphones"/>
    <x v="0"/>
    <n v="5"/>
    <n v="149.99"/>
    <s v="PayPal"/>
    <s v="East"/>
    <s v="Premium"/>
    <d v="2022-09-20T00:00:00"/>
    <n v="749.95"/>
  </r>
  <r>
    <s v="TRX0091"/>
    <d v="2025-01-06T00:00:00"/>
    <s v="CUST003"/>
    <x v="4"/>
    <s v="P007"/>
    <s v="Desk"/>
    <x v="2"/>
    <n v="3"/>
    <n v="299.99"/>
    <s v="Cash"/>
    <s v="South"/>
    <s v="Standard"/>
    <d v="2021-08-14T00:00:00"/>
    <n v="899.97"/>
  </r>
  <r>
    <s v="TRX0125"/>
    <d v="2025-01-09T00:00:00"/>
    <s v="CUST026"/>
    <x v="8"/>
    <s v="P002"/>
    <s v="Smartphone"/>
    <x v="0"/>
    <n v="3"/>
    <n v="699.99"/>
    <s v="Credit Card"/>
    <s v="Central"/>
    <s v="Premium"/>
    <d v="2023-06-28T00:00:00"/>
    <n v="2099.9699999999998"/>
  </r>
  <r>
    <s v="TRX0223"/>
    <d v="2025-01-10T00:00:00"/>
    <s v="CUST036"/>
    <x v="20"/>
    <s v="P006"/>
    <s v="Office Chair"/>
    <x v="2"/>
    <n v="5"/>
    <n v="199.99"/>
    <s v="PayPal"/>
    <s v="Central"/>
    <s v="Standard"/>
    <d v="2022-03-13T00:00:00"/>
    <n v="999.95"/>
  </r>
  <r>
    <s v="TRX0243"/>
    <d v="2025-01-10T00:00:00"/>
    <s v="CUST048"/>
    <x v="16"/>
    <s v="P009"/>
    <s v="Monitor"/>
    <x v="0"/>
    <n v="5"/>
    <n v="249.99"/>
    <s v="Credit Card"/>
    <s v="South"/>
    <s v="Basic"/>
    <d v="2024-02-08T00:00:00"/>
    <n v="1249.95"/>
  </r>
  <r>
    <s v="TRX0084"/>
    <d v="2025-01-11T00:00:00"/>
    <s v="CUST031"/>
    <x v="26"/>
    <s v="P003"/>
    <s v="Headphones"/>
    <x v="0"/>
    <n v="4"/>
    <n v="149.99"/>
    <s v="Debit Card"/>
    <s v="East"/>
    <s v="Standard"/>
    <d v="2021-12-06T00:00:00"/>
    <n v="599.96"/>
  </r>
  <r>
    <s v="TRX0238"/>
    <d v="2025-01-11T00:00:00"/>
    <s v="CUST038"/>
    <x v="12"/>
    <s v="P002"/>
    <s v="Smartphone"/>
    <x v="0"/>
    <n v="3"/>
    <n v="699.99"/>
    <s v="Cash"/>
    <s v="North"/>
    <s v="Premium"/>
    <d v="2022-02-10T00:00:00"/>
    <n v="2099.9699999999998"/>
  </r>
  <r>
    <s v="TRX0102"/>
    <d v="2025-01-13T00:00:00"/>
    <s v="CUST045"/>
    <x v="46"/>
    <s v="P004"/>
    <s v="Coffee Maker"/>
    <x v="1"/>
    <n v="1"/>
    <n v="79.989999999999995"/>
    <s v="Credit Card"/>
    <s v="South"/>
    <s v="Basic"/>
    <d v="2024-01-31T00:00:00"/>
    <n v="79.989999999999995"/>
  </r>
  <r>
    <s v="TRX0022"/>
    <d v="2025-01-13T00:00:00"/>
    <s v="CUST025"/>
    <x v="14"/>
    <s v="P007"/>
    <s v="Desk"/>
    <x v="2"/>
    <n v="1"/>
    <n v="299.99"/>
    <s v="Credit Card"/>
    <s v="North"/>
    <s v="Basic"/>
    <d v="2021-08-28T00:00:00"/>
    <n v="299.99"/>
  </r>
  <r>
    <s v="TRX0087"/>
    <d v="2025-01-14T00:00:00"/>
    <s v="CUST028"/>
    <x v="32"/>
    <s v="P009"/>
    <s v="Monitor"/>
    <x v="0"/>
    <n v="4"/>
    <n v="249.99"/>
    <s v="Credit Card"/>
    <s v="North"/>
    <s v="Premium"/>
    <d v="2021-09-21T00:00:00"/>
    <n v="999.96"/>
  </r>
  <r>
    <s v="TRX0107"/>
    <d v="2025-01-14T00:00:00"/>
    <s v="CUST030"/>
    <x v="22"/>
    <s v="P003"/>
    <s v="Headphones"/>
    <x v="0"/>
    <n v="2"/>
    <n v="149.99"/>
    <s v="Cash"/>
    <s v="North"/>
    <s v="Standard"/>
    <d v="2022-12-18T00:00:00"/>
    <n v="299.98"/>
  </r>
  <r>
    <s v="TRX0051"/>
    <d v="2025-01-14T00:00:00"/>
    <s v="CUST032"/>
    <x v="42"/>
    <s v="P007"/>
    <s v="Desk"/>
    <x v="2"/>
    <n v="3"/>
    <n v="299.99"/>
    <s v="Credit Card"/>
    <s v="South"/>
    <s v="Basic"/>
    <d v="2023-10-05T00:00:00"/>
    <n v="899.97"/>
  </r>
  <r>
    <s v="TRX0106"/>
    <d v="2025-01-16T00:00:00"/>
    <s v="CUST039"/>
    <x v="40"/>
    <s v="P006"/>
    <s v="Office Chair"/>
    <x v="2"/>
    <n v="4"/>
    <n v="199.99"/>
    <s v="Debit Card"/>
    <s v="South"/>
    <s v="Standard"/>
    <d v="2021-12-14T00:00:00"/>
    <n v="799.96"/>
  </r>
  <r>
    <s v="TRX0059"/>
    <d v="2025-01-16T00:00:00"/>
    <s v="CUST016"/>
    <x v="39"/>
    <s v="P007"/>
    <s v="Desk"/>
    <x v="2"/>
    <n v="5"/>
    <n v="299.99"/>
    <s v="Debit Card"/>
    <s v="Central"/>
    <s v="Basic"/>
    <d v="2021-08-23T00:00:00"/>
    <n v="1499.95"/>
  </r>
  <r>
    <s v="TRX0072"/>
    <d v="2025-01-16T00:00:00"/>
    <s v="CUST009"/>
    <x v="7"/>
    <s v="P008"/>
    <s v="Bookshelf"/>
    <x v="2"/>
    <n v="3"/>
    <n v="149.99"/>
    <s v="Credit Card"/>
    <s v="East"/>
    <s v="Standard"/>
    <d v="2021-07-18T00:00:00"/>
    <n v="449.97"/>
  </r>
  <r>
    <s v="TRX0110"/>
    <d v="2025-01-19T00:00:00"/>
    <s v="CUST006"/>
    <x v="24"/>
    <s v="P005"/>
    <s v="Blender"/>
    <x v="1"/>
    <n v="5"/>
    <n v="59.99"/>
    <s v="Debit Card"/>
    <s v="East"/>
    <s v="Basic"/>
    <d v="2022-03-22T00:00:00"/>
    <n v="299.95"/>
  </r>
  <r>
    <s v="TRX0126"/>
    <d v="2025-01-25T00:00:00"/>
    <s v="CUST022"/>
    <x v="9"/>
    <s v="P005"/>
    <s v="Blender"/>
    <x v="1"/>
    <n v="4"/>
    <n v="59.99"/>
    <s v="Debit Card"/>
    <s v="East"/>
    <s v="Standard"/>
    <d v="2022-01-03T00:00:00"/>
    <n v="239.96"/>
  </r>
  <r>
    <s v="TRX0159"/>
    <d v="2025-01-26T00:00:00"/>
    <s v="CUST024"/>
    <x v="5"/>
    <s v="P009"/>
    <s v="Monitor"/>
    <x v="0"/>
    <n v="4"/>
    <n v="249.99"/>
    <s v="Debit Card"/>
    <s v="Central"/>
    <s v="Premium"/>
    <d v="2023-10-18T00:00:00"/>
    <n v="999.96"/>
  </r>
  <r>
    <s v="TRX0030"/>
    <d v="2025-01-29T00:00:00"/>
    <s v="CUST011"/>
    <x v="44"/>
    <s v="P001"/>
    <s v="Laptop"/>
    <x v="0"/>
    <n v="4"/>
    <n v="899.99"/>
    <s v="PayPal"/>
    <s v="Central"/>
    <s v="Basic"/>
    <d v="2022-06-22T00:00:00"/>
    <n v="3599.96"/>
  </r>
  <r>
    <s v="TRX0178"/>
    <d v="2025-01-29T00:00:00"/>
    <s v="CUST025"/>
    <x v="14"/>
    <s v="P007"/>
    <s v="Desk"/>
    <x v="2"/>
    <n v="3"/>
    <n v="299.99"/>
    <s v="Debit Card"/>
    <s v="West"/>
    <s v="Standard"/>
    <d v="2023-01-26T00:00:00"/>
    <n v="899.97"/>
  </r>
  <r>
    <s v="TRX0188"/>
    <d v="2025-01-29T00:00:00"/>
    <s v="CUST045"/>
    <x v="46"/>
    <s v="P002"/>
    <s v="Smartphone"/>
    <x v="0"/>
    <n v="2"/>
    <n v="699.99"/>
    <s v="Debit Card"/>
    <s v="Central"/>
    <s v="Premium"/>
    <d v="2022-04-30T00:00:00"/>
    <n v="1399.98"/>
  </r>
  <r>
    <s v="TRX0010"/>
    <d v="2025-01-31T00:00:00"/>
    <s v="CUST026"/>
    <x v="8"/>
    <s v="P002"/>
    <s v="Smartphone"/>
    <x v="0"/>
    <n v="4"/>
    <n v="699.99"/>
    <s v="Debit Card"/>
    <s v="West"/>
    <s v="Premium"/>
    <d v="2022-05-11T00:00:00"/>
    <n v="2799.96"/>
  </r>
  <r>
    <s v="TRX0069"/>
    <d v="2025-01-31T00:00:00"/>
    <s v="CUST029"/>
    <x v="23"/>
    <s v="P010"/>
    <s v="Keyboard"/>
    <x v="0"/>
    <n v="2"/>
    <n v="89.99"/>
    <s v="Debit Card"/>
    <s v="South"/>
    <s v="Basic"/>
    <d v="2022-08-04T00:00:00"/>
    <n v="179.98"/>
  </r>
  <r>
    <s v="TRX0166"/>
    <d v="2025-01-31T00:00:00"/>
    <s v="CUST003"/>
    <x v="4"/>
    <s v="P010"/>
    <s v="Keyboard"/>
    <x v="0"/>
    <n v="3"/>
    <n v="89.99"/>
    <s v="Debit Card"/>
    <s v="South"/>
    <s v="Premium"/>
    <d v="2024-01-16T00:00:00"/>
    <n v="269.97000000000003"/>
  </r>
  <r>
    <s v="TRX0219"/>
    <d v="2025-02-04T00:00:00"/>
    <s v="CUST037"/>
    <x v="48"/>
    <s v="P005"/>
    <s v="Blender"/>
    <x v="1"/>
    <n v="1"/>
    <n v="59.99"/>
    <s v="Debit Card"/>
    <s v="Central"/>
    <s v="Standard"/>
    <d v="2023-04-29T00:00:00"/>
    <n v="59.99"/>
  </r>
  <r>
    <s v="TRX0024"/>
    <d v="2025-02-07T00:00:00"/>
    <s v="CUST042"/>
    <x v="43"/>
    <s v="P008"/>
    <s v="Bookshelf"/>
    <x v="2"/>
    <n v="3"/>
    <n v="149.99"/>
    <s v="Debit Card"/>
    <s v="North"/>
    <s v="Premium"/>
    <d v="2022-01-03T00:00:00"/>
    <n v="449.97"/>
  </r>
  <r>
    <s v="TRX0105"/>
    <d v="2025-02-07T00:00:00"/>
    <s v="CUST048"/>
    <x v="16"/>
    <s v="P007"/>
    <s v="Desk"/>
    <x v="2"/>
    <n v="5"/>
    <n v="299.99"/>
    <s v="Credit Card"/>
    <s v="South"/>
    <s v="Basic"/>
    <d v="2023-02-02T00:00:00"/>
    <n v="1499.95"/>
  </r>
  <r>
    <s v="TRX0011"/>
    <d v="2025-02-08T00:00:00"/>
    <s v="CUST040"/>
    <x v="30"/>
    <s v="P005"/>
    <s v="Blender"/>
    <x v="1"/>
    <n v="5"/>
    <n v="59.99"/>
    <s v="Debit Card"/>
    <s v="Central"/>
    <s v="Standard"/>
    <d v="2023-09-08T00:00:00"/>
    <n v="299.95"/>
  </r>
  <r>
    <s v="TRX0187"/>
    <d v="2025-02-13T00:00:00"/>
    <s v="CUST036"/>
    <x v="20"/>
    <s v="P004"/>
    <s v="Coffee Maker"/>
    <x v="1"/>
    <n v="3"/>
    <n v="79.989999999999995"/>
    <s v="Cash"/>
    <s v="East"/>
    <s v="Premium"/>
    <d v="2021-08-28T00:00:00"/>
    <n v="239.97"/>
  </r>
  <r>
    <s v="TRX0089"/>
    <d v="2025-02-16T00:00:00"/>
    <s v="CUST021"/>
    <x v="2"/>
    <s v="P006"/>
    <s v="Office Chair"/>
    <x v="2"/>
    <n v="3"/>
    <n v="199.99"/>
    <s v="Cash"/>
    <s v="Central"/>
    <s v="Basic"/>
    <d v="2022-06-23T00:00:00"/>
    <n v="599.97"/>
  </r>
  <r>
    <s v="TRX0196"/>
    <d v="2025-02-16T00:00:00"/>
    <s v="CUST023"/>
    <x v="0"/>
    <s v="P010"/>
    <s v="Keyboard"/>
    <x v="0"/>
    <n v="2"/>
    <n v="89.99"/>
    <s v="PayPal"/>
    <s v="Central"/>
    <s v="Basic"/>
    <d v="2023-11-27T00:00:00"/>
    <n v="179.98"/>
  </r>
  <r>
    <s v="TRX0118"/>
    <d v="2025-02-17T00:00:00"/>
    <s v="CUST015"/>
    <x v="45"/>
    <s v="P008"/>
    <s v="Bookshelf"/>
    <x v="2"/>
    <n v="2"/>
    <n v="149.99"/>
    <s v="Cash"/>
    <s v="South"/>
    <s v="Premium"/>
    <d v="2022-06-16T00:00:00"/>
    <n v="299.98"/>
  </r>
  <r>
    <s v="TRX0179"/>
    <d v="2025-02-19T00:00:00"/>
    <s v="CUST029"/>
    <x v="23"/>
    <s v="P002"/>
    <s v="Smartphone"/>
    <x v="0"/>
    <n v="5"/>
    <n v="699.99"/>
    <s v="PayPal"/>
    <s v="South"/>
    <s v="Premium"/>
    <d v="2024-03-01T00:00:00"/>
    <n v="3499.95"/>
  </r>
  <r>
    <s v="TRX0168"/>
    <d v="2025-02-19T00:00:00"/>
    <s v="CUST003"/>
    <x v="4"/>
    <s v="P008"/>
    <s v="Bookshelf"/>
    <x v="2"/>
    <n v="3"/>
    <n v="149.99"/>
    <s v="PayPal"/>
    <s v="Central"/>
    <s v="Standard"/>
    <d v="2022-03-13T00:00:00"/>
    <n v="449.97"/>
  </r>
  <r>
    <s v="TRX0214"/>
    <d v="2025-02-20T00:00:00"/>
    <s v="CUST018"/>
    <x v="17"/>
    <s v="P001"/>
    <s v="Laptop"/>
    <x v="0"/>
    <n v="3"/>
    <n v="899.99"/>
    <s v="Cash"/>
    <s v="East"/>
    <s v="Standard"/>
    <d v="2022-02-21T00:00:00"/>
    <n v="2699.97"/>
  </r>
  <r>
    <s v="TRX0221"/>
    <d v="2025-02-20T00:00:00"/>
    <s v="CUST033"/>
    <x v="37"/>
    <s v="P006"/>
    <s v="Office Chair"/>
    <x v="2"/>
    <n v="3"/>
    <n v="199.99"/>
    <s v="Cash"/>
    <s v="West"/>
    <s v="Premium"/>
    <d v="2022-09-19T00:00:00"/>
    <n v="599.97"/>
  </r>
  <r>
    <s v="TRX0083"/>
    <d v="2025-02-22T00:00:00"/>
    <s v="CUST017"/>
    <x v="6"/>
    <s v="P007"/>
    <s v="Desk"/>
    <x v="2"/>
    <n v="5"/>
    <n v="299.99"/>
    <s v="Cash"/>
    <s v="West"/>
    <s v="Standard"/>
    <d v="2023-08-04T00:00:00"/>
    <n v="1499.95"/>
  </r>
  <r>
    <s v="TRX0151"/>
    <d v="2025-02-22T00:00:00"/>
    <s v="CUST040"/>
    <x v="30"/>
    <s v="P002"/>
    <s v="Smartphone"/>
    <x v="0"/>
    <n v="1"/>
    <n v="699.99"/>
    <s v="PayPal"/>
    <s v="West"/>
    <s v="Basic"/>
    <d v="2023-01-08T00:00:00"/>
    <n v="699.99"/>
  </r>
  <r>
    <s v="TRX0047"/>
    <d v="2025-02-23T00:00:00"/>
    <s v="CUST042"/>
    <x v="43"/>
    <s v="P002"/>
    <s v="Smartphone"/>
    <x v="0"/>
    <n v="1"/>
    <n v="699.99"/>
    <s v="Cash"/>
    <s v="North"/>
    <s v="Premium"/>
    <d v="2022-01-22T00:00:00"/>
    <n v="699.99"/>
  </r>
  <r>
    <s v="TRX0200"/>
    <d v="2025-02-23T00:00:00"/>
    <s v="CUST037"/>
    <x v="48"/>
    <s v="P008"/>
    <s v="Bookshelf"/>
    <x v="2"/>
    <n v="4"/>
    <n v="149.99"/>
    <s v="PayPal"/>
    <s v="North"/>
    <s v="Premium"/>
    <d v="2021-08-04T00:00:00"/>
    <n v="599.96"/>
  </r>
  <r>
    <s v="TRX0062"/>
    <d v="2025-02-23T00:00:00"/>
    <s v="CUST016"/>
    <x v="39"/>
    <s v="P010"/>
    <s v="Keyboard"/>
    <x v="0"/>
    <n v="5"/>
    <n v="89.99"/>
    <s v="PayPal"/>
    <s v="West"/>
    <s v="Premium"/>
    <d v="2023-08-02T00:00:00"/>
    <n v="449.95"/>
  </r>
  <r>
    <s v="TRX0182"/>
    <d v="2025-02-24T00:00:00"/>
    <s v="CUST031"/>
    <x v="26"/>
    <s v="P006"/>
    <s v="Office Chair"/>
    <x v="2"/>
    <n v="2"/>
    <n v="199.99"/>
    <s v="Cash"/>
    <s v="Central"/>
    <s v="Premium"/>
    <d v="2022-01-12T00:00:00"/>
    <n v="399.98"/>
  </r>
  <r>
    <s v="TRX0229"/>
    <d v="2025-02-27T00:00:00"/>
    <s v="CUST015"/>
    <x v="45"/>
    <s v="P005"/>
    <s v="Blender"/>
    <x v="1"/>
    <n v="4"/>
    <n v="59.99"/>
    <s v="Cash"/>
    <s v="West"/>
    <s v="Standard"/>
    <d v="2023-05-24T00:00:00"/>
    <n v="239.96"/>
  </r>
  <r>
    <s v="TRX0048"/>
    <d v="2025-02-27T00:00:00"/>
    <s v="CUST048"/>
    <x v="16"/>
    <s v="P007"/>
    <s v="Desk"/>
    <x v="2"/>
    <n v="2"/>
    <n v="299.99"/>
    <s v="PayPal"/>
    <s v="South"/>
    <s v="Basic"/>
    <d v="2022-01-15T00:00:00"/>
    <n v="599.98"/>
  </r>
  <r>
    <s v="TRX0227"/>
    <d v="2025-03-02T00:00:00"/>
    <s v="CUST017"/>
    <x v="6"/>
    <s v="P008"/>
    <s v="Bookshelf"/>
    <x v="2"/>
    <n v="2"/>
    <n v="149.99"/>
    <s v="Cash"/>
    <s v="Central"/>
    <s v="Basic"/>
    <d v="2023-05-22T00:00:00"/>
    <n v="299.98"/>
  </r>
  <r>
    <s v="TRX0226"/>
    <d v="2025-03-04T00:00:00"/>
    <s v="CUST039"/>
    <x v="40"/>
    <s v="P002"/>
    <s v="Smartphone"/>
    <x v="0"/>
    <n v="5"/>
    <n v="699.99"/>
    <s v="Debit Card"/>
    <s v="East"/>
    <s v="Premium"/>
    <d v="2023-08-23T00:00:00"/>
    <n v="3499.95"/>
  </r>
  <r>
    <s v="TRX0053"/>
    <d v="2025-03-05T00:00:00"/>
    <s v="CUST043"/>
    <x v="11"/>
    <s v="P005"/>
    <s v="Blender"/>
    <x v="1"/>
    <n v="5"/>
    <n v="59.99"/>
    <s v="Cash"/>
    <s v="West"/>
    <s v="Premium"/>
    <d v="2023-12-31T00:00:00"/>
    <n v="299.95"/>
  </r>
  <r>
    <s v="TRX0233"/>
    <d v="2025-03-07T00:00:00"/>
    <s v="CUST023"/>
    <x v="0"/>
    <s v="P010"/>
    <s v="Keyboard"/>
    <x v="0"/>
    <n v="2"/>
    <n v="89.99"/>
    <s v="Credit Card"/>
    <s v="West"/>
    <s v="Premium"/>
    <d v="2024-01-04T00:00:00"/>
    <n v="179.98"/>
  </r>
  <r>
    <s v="TRX0175"/>
    <d v="2025-03-07T00:00:00"/>
    <s v="CUST030"/>
    <x v="22"/>
    <s v="P009"/>
    <s v="Monitor"/>
    <x v="0"/>
    <n v="5"/>
    <n v="249.99"/>
    <s v="Cash"/>
    <s v="East"/>
    <s v="Standard"/>
    <d v="2021-12-10T00:00:00"/>
    <n v="1249.95"/>
  </r>
  <r>
    <s v="TRX0186"/>
    <d v="2025-03-08T00:00:00"/>
    <s v="CUST039"/>
    <x v="40"/>
    <s v="P008"/>
    <s v="Bookshelf"/>
    <x v="2"/>
    <n v="2"/>
    <n v="149.99"/>
    <s v="PayPal"/>
    <s v="Central"/>
    <s v="Premium"/>
    <d v="2022-03-12T00:00:00"/>
    <n v="299.98"/>
  </r>
  <r>
    <s v="TRX0016"/>
    <d v="2025-03-08T00:00:00"/>
    <s v="CUST035"/>
    <x v="28"/>
    <s v="P001"/>
    <s v="Laptop"/>
    <x v="0"/>
    <n v="5"/>
    <n v="899.99"/>
    <s v="PayPal"/>
    <s v="East"/>
    <s v="Premium"/>
    <d v="2024-04-07T00:00:00"/>
    <n v="4499.95"/>
  </r>
  <r>
    <s v="TRX0199"/>
    <d v="2025-03-08T00:00:00"/>
    <s v="CUST017"/>
    <x v="6"/>
    <s v="P008"/>
    <s v="Bookshelf"/>
    <x v="2"/>
    <n v="4"/>
    <n v="149.99"/>
    <s v="Cash"/>
    <s v="Central"/>
    <s v="Standard"/>
    <d v="2023-12-03T00:00:00"/>
    <n v="599.96"/>
  </r>
  <r>
    <s v="TRX0038"/>
    <d v="2025-03-10T00:00:00"/>
    <s v="CUST035"/>
    <x v="28"/>
    <s v="P009"/>
    <s v="Monitor"/>
    <x v="0"/>
    <n v="1"/>
    <n v="249.99"/>
    <s v="Cash"/>
    <s v="North"/>
    <s v="Standard"/>
    <d v="2023-07-10T00:00:00"/>
    <n v="249.99"/>
  </r>
  <r>
    <s v="TRX0014"/>
    <d v="2025-03-18T00:00:00"/>
    <s v="CUST033"/>
    <x v="37"/>
    <s v="P005"/>
    <s v="Blender"/>
    <x v="1"/>
    <n v="2"/>
    <n v="59.99"/>
    <s v="Credit Card"/>
    <s v="West"/>
    <s v="Basic"/>
    <d v="2023-09-24T00:00:00"/>
    <n v="119.98"/>
  </r>
  <r>
    <s v="TRX0003"/>
    <d v="2025-03-21T00:00:00"/>
    <s v="CUST002"/>
    <x v="25"/>
    <s v="P008"/>
    <s v="Bookshelf"/>
    <x v="2"/>
    <n v="2"/>
    <n v="149.99"/>
    <s v="Cash"/>
    <s v="West"/>
    <s v="Premium"/>
    <d v="2023-11-03T00:00:00"/>
    <n v="299.98"/>
  </r>
  <r>
    <s v="TRX0124"/>
    <d v="2025-03-21T00:00:00"/>
    <s v="CUST040"/>
    <x v="30"/>
    <s v="P001"/>
    <s v="Laptop"/>
    <x v="0"/>
    <n v="3"/>
    <n v="899.99"/>
    <s v="Debit Card"/>
    <s v="North"/>
    <s v="Premium"/>
    <d v="2022-11-11T00:00:00"/>
    <n v="2699.97"/>
  </r>
  <r>
    <s v="TRX0013"/>
    <d v="2025-03-21T00:00:00"/>
    <s v="CUST024"/>
    <x v="5"/>
    <s v="P001"/>
    <s v="Laptop"/>
    <x v="0"/>
    <n v="3"/>
    <n v="899.99"/>
    <s v="PayPal"/>
    <s v="North"/>
    <s v="Basic"/>
    <d v="2023-02-18T00:00:00"/>
    <n v="2699.97"/>
  </r>
  <r>
    <s v="TRX0019"/>
    <d v="2025-03-23T00:00:00"/>
    <s v="CUST023"/>
    <x v="0"/>
    <s v="P007"/>
    <s v="Desk"/>
    <x v="2"/>
    <n v="3"/>
    <n v="299.99"/>
    <s v="Credit Card"/>
    <s v="West"/>
    <s v="Premium"/>
    <d v="2023-11-04T00:00:00"/>
    <n v="899.97"/>
  </r>
  <r>
    <s v="TRX0050"/>
    <d v="2025-03-24T00:00:00"/>
    <s v="CUST001"/>
    <x v="49"/>
    <s v="P008"/>
    <s v="Bookshelf"/>
    <x v="2"/>
    <n v="4"/>
    <n v="149.99"/>
    <s v="PayPal"/>
    <s v="West"/>
    <s v="Standard"/>
    <d v="2021-12-30T00:00:00"/>
    <n v="599.96"/>
  </r>
  <r>
    <s v="TRX0152"/>
    <d v="2025-03-27T00:00:00"/>
    <s v="CUST044"/>
    <x v="19"/>
    <s v="P004"/>
    <s v="Coffee Maker"/>
    <x v="1"/>
    <n v="4"/>
    <n v="79.989999999999995"/>
    <s v="Credit Card"/>
    <s v="Central"/>
    <s v="Basic"/>
    <d v="2023-12-28T00:00:00"/>
    <n v="319.95999999999998"/>
  </r>
  <r>
    <s v="TRX0213"/>
    <d v="2025-03-29T00:00:00"/>
    <s v="CUST020"/>
    <x v="36"/>
    <s v="P010"/>
    <s v="Keyboard"/>
    <x v="0"/>
    <n v="5"/>
    <n v="89.99"/>
    <s v="PayPal"/>
    <s v="South"/>
    <s v="Basic"/>
    <d v="2022-05-23T00:00:00"/>
    <n v="449.95"/>
  </r>
  <r>
    <s v="TRX0197"/>
    <d v="2025-03-30T00:00:00"/>
    <s v="CUST048"/>
    <x v="16"/>
    <s v="P008"/>
    <s v="Bookshelf"/>
    <x v="2"/>
    <n v="3"/>
    <n v="149.99"/>
    <s v="PayPal"/>
    <s v="Central"/>
    <s v="Standard"/>
    <d v="2023-09-02T00:00:00"/>
    <n v="449.97"/>
  </r>
  <r>
    <s v="TRX0250"/>
    <d v="2025-03-30T00:00:00"/>
    <s v="CUST026"/>
    <x v="8"/>
    <s v="P010"/>
    <s v="Keyboard"/>
    <x v="0"/>
    <n v="2"/>
    <n v="89.99"/>
    <s v="Debit Card"/>
    <s v="West"/>
    <s v="Premium"/>
    <d v="2021-11-22T00:00:00"/>
    <n v="179.98"/>
  </r>
  <r>
    <s v="TRX0068"/>
    <d v="2025-04-01T00:00:00"/>
    <s v="CUST044"/>
    <x v="19"/>
    <s v="P002"/>
    <s v="Smartphone"/>
    <x v="0"/>
    <n v="2"/>
    <n v="699.99"/>
    <s v="PayPal"/>
    <s v="North"/>
    <s v="Standard"/>
    <d v="2022-02-26T00:00:00"/>
    <n v="1399.98"/>
  </r>
  <r>
    <s v="TRX0144"/>
    <d v="2025-04-02T00:00:00"/>
    <s v="CUST029"/>
    <x v="23"/>
    <s v="P001"/>
    <s v="Laptop"/>
    <x v="0"/>
    <n v="3"/>
    <n v="899.99"/>
    <s v="Cash"/>
    <s v="Central"/>
    <s v="Standard"/>
    <d v="2023-01-27T00:00:00"/>
    <n v="2699.97"/>
  </r>
  <r>
    <s v="TRX0039"/>
    <d v="2025-04-08T00:00:00"/>
    <s v="CUST048"/>
    <x v="16"/>
    <s v="P004"/>
    <s v="Coffee Maker"/>
    <x v="1"/>
    <n v="3"/>
    <n v="79.989999999999995"/>
    <s v="Credit Card"/>
    <s v="North"/>
    <s v="Basic"/>
    <d v="2021-11-11T00:00:00"/>
    <n v="239.97"/>
  </r>
  <r>
    <s v="TRX0116"/>
    <d v="2025-04-09T00:00:00"/>
    <s v="CUST009"/>
    <x v="7"/>
    <s v="P010"/>
    <s v="Keyboard"/>
    <x v="0"/>
    <n v="1"/>
    <n v="89.99"/>
    <s v="Debit Card"/>
    <s v="East"/>
    <s v="Basic"/>
    <d v="2024-02-24T00:00:00"/>
    <n v="89.99"/>
  </r>
  <r>
    <s v="TRX0120"/>
    <d v="2025-04-11T00:00:00"/>
    <s v="CUST045"/>
    <x v="46"/>
    <s v="P002"/>
    <s v="Smartphone"/>
    <x v="0"/>
    <n v="3"/>
    <n v="699.99"/>
    <s v="PayPal"/>
    <s v="North"/>
    <s v="Basic"/>
    <d v="2022-12-14T00:00:00"/>
    <n v="2099.9699999999998"/>
  </r>
  <r>
    <s v="TRX0103"/>
    <d v="2025-04-11T00:00:00"/>
    <s v="CUST039"/>
    <x v="40"/>
    <s v="P010"/>
    <s v="Keyboard"/>
    <x v="0"/>
    <n v="2"/>
    <n v="89.99"/>
    <s v="Debit Card"/>
    <s v="East"/>
    <s v="Basic"/>
    <d v="2023-06-11T00:00:00"/>
    <n v="179.98"/>
  </r>
  <r>
    <s v="TRX0064"/>
    <d v="2025-04-11T00:00:00"/>
    <s v="CUST031"/>
    <x v="26"/>
    <s v="P010"/>
    <s v="Keyboard"/>
    <x v="0"/>
    <n v="3"/>
    <n v="89.99"/>
    <s v="Debit Card"/>
    <s v="North"/>
    <s v="Premium"/>
    <d v="2022-11-13T00:00:00"/>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249.99"/>
    <s v="Cash"/>
    <s v="Central"/>
    <x v="0"/>
    <d v="2021-08-17T00:00:00"/>
    <n v="749.97"/>
    <s v="Paul Baker"/>
    <s v="Electronics"/>
    <s v="Total_Amount"/>
    <s v="your customer is not Premium customer"/>
    <s v="he is an Basiccustomer"/>
  </r>
  <r>
    <s v="TRX0023"/>
    <x v="1"/>
    <s v="CUST013"/>
    <s v="Joseph Jackson"/>
    <s v="P009"/>
    <s v="Monitor"/>
    <x v="0"/>
    <n v="3"/>
    <n v="249.99"/>
    <s v="Credit Card"/>
    <s v="Central"/>
    <x v="1"/>
    <d v="2022-01-14T00:00:00"/>
    <n v="749.97"/>
    <s v="Joseph Jackson"/>
    <s v="Electronics"/>
    <n v="749.97"/>
    <s v="Premium"/>
    <s v="he is anPremiumcustomer"/>
  </r>
  <r>
    <s v="TRX0139"/>
    <x v="2"/>
    <s v="CUST021"/>
    <s v="Kevin Scott"/>
    <s v="P005"/>
    <s v="Blender"/>
    <x v="1"/>
    <n v="3"/>
    <n v="59.99"/>
    <s v="PayPal"/>
    <s v="South"/>
    <x v="2"/>
    <d v="2023-12-02T00:00:00"/>
    <n v="179.97"/>
    <s v="Kevin Scott"/>
    <s v="Appliances"/>
    <n v="749.97"/>
    <s v="your customer is not Premium customer"/>
    <s v="he is anStandardcustomer"/>
  </r>
  <r>
    <s v="TRX0043"/>
    <x v="3"/>
    <s v="CUST046"/>
    <s v="Kathleen Bennett"/>
    <s v="P005"/>
    <s v="Blender"/>
    <x v="1"/>
    <n v="3"/>
    <n v="59.99"/>
    <s v="Cash"/>
    <s v="North"/>
    <x v="1"/>
    <d v="2023-07-07T00:00:00"/>
    <n v="179.97"/>
    <s v="Kathleen Bennett"/>
    <s v="Appliances"/>
    <n v="179.97"/>
    <s v="Premium"/>
    <s v="he is anPremiumcustomer"/>
  </r>
  <r>
    <s v="TRX0212"/>
    <x v="3"/>
    <s v="CUST003"/>
    <s v="Michael Brown"/>
    <s v="P008"/>
    <s v="Bookshelf"/>
    <x v="2"/>
    <n v="5"/>
    <n v="149.99"/>
    <s v="Credit Card"/>
    <s v="North"/>
    <x v="1"/>
    <d v="2024-01-04T00:00:00"/>
    <n v="749.95"/>
    <s v="Michael Brown"/>
    <s v="Furniture"/>
    <n v="179.97"/>
    <s v="Premium"/>
    <s v="he is anPremiumcustomer"/>
  </r>
  <r>
    <s v="TRX0092"/>
    <x v="4"/>
    <s v="CUST024"/>
    <s v="Dorothy Nelson"/>
    <s v="P005"/>
    <s v="Blender"/>
    <x v="1"/>
    <n v="2"/>
    <n v="59.99"/>
    <s v="Cash"/>
    <s v="West"/>
    <x v="2"/>
    <d v="2022-07-04T00:00:00"/>
    <n v="119.98"/>
    <s v="Dorothy Nelson"/>
    <s v="Appliances"/>
    <n v="749.95"/>
    <s v="your customer is not Premium customer"/>
    <s v="he is anStandardcustomer"/>
  </r>
  <r>
    <s v="TRX0193"/>
    <x v="4"/>
    <s v="CUST024"/>
    <s v="Dorothy Nelson"/>
    <s v="P003"/>
    <s v="Headphones"/>
    <x v="0"/>
    <n v="5"/>
    <n v="149.99"/>
    <s v="Credit Card"/>
    <s v="Central"/>
    <x v="2"/>
    <d v="2021-08-10T00:00:00"/>
    <n v="749.95"/>
    <s v="Dorothy Nelson"/>
    <s v="Appliances"/>
    <n v="119.98"/>
    <s v="your customer is not Premium customer"/>
    <s v="he is anStandardcustomer"/>
  </r>
  <r>
    <s v="TRX0240"/>
    <x v="4"/>
    <s v="CUST017"/>
    <s v="Charles Allen"/>
    <s v="P005"/>
    <s v="Blender"/>
    <x v="1"/>
    <n v="3"/>
    <n v="59.99"/>
    <s v="Debit Card"/>
    <s v="South"/>
    <x v="0"/>
    <d v="2023-03-22T00:00:00"/>
    <n v="179.97"/>
    <s v="Charles Allen"/>
    <s v="Appliances"/>
    <n v="749.95"/>
    <s v="your customer is not Premium customer"/>
    <s v="he is an Basiccustomer"/>
  </r>
  <r>
    <s v="TRX0135"/>
    <x v="5"/>
    <s v="CUST009"/>
    <s v="Robert Thomas"/>
    <s v="P001"/>
    <s v="Laptop"/>
    <x v="0"/>
    <n v="3"/>
    <n v="899.99"/>
    <s v="PayPal"/>
    <s v="East"/>
    <x v="2"/>
    <d v="2024-01-08T00:00:00"/>
    <n v="2699.97"/>
    <s v="Robert Thomas"/>
    <s v="Electronics"/>
    <n v="179.97"/>
    <s v="your customer is not Premium customer"/>
    <s v="he is anStandardcustomer"/>
  </r>
  <r>
    <s v="TRX0185"/>
    <x v="6"/>
    <s v="CUST026"/>
    <s v="Karen Hill"/>
    <s v="P005"/>
    <s v="Blender"/>
    <x v="1"/>
    <n v="3"/>
    <n v="59.99"/>
    <s v="Cash"/>
    <s v="West"/>
    <x v="1"/>
    <d v="2023-10-08T00:00:00"/>
    <n v="179.97"/>
    <s v="Karen Hill"/>
    <s v="Appliances"/>
    <n v="2699.97"/>
    <s v="Premium"/>
    <s v="he is anPremiumcustomer"/>
  </r>
  <r>
    <s v="TRX0138"/>
    <x v="6"/>
    <s v="CUST022"/>
    <s v="Susan Green"/>
    <s v="P008"/>
    <s v="Bookshelf"/>
    <x v="2"/>
    <n v="1"/>
    <n v="149.99"/>
    <s v="Credit Card"/>
    <s v="West"/>
    <x v="2"/>
    <d v="2023-06-26T00:00:00"/>
    <n v="149.99"/>
    <s v="Susan Green"/>
    <s v="Furniture"/>
    <n v="179.97"/>
    <s v="your customer is not Premium customer"/>
    <s v="he is anStandardcustomer"/>
  </r>
  <r>
    <s v="TRX0209"/>
    <x v="6"/>
    <s v="CUST046"/>
    <s v="Kathleen Bennett"/>
    <s v="P008"/>
    <s v="Bookshelf"/>
    <x v="2"/>
    <n v="5"/>
    <n v="149.99"/>
    <s v="Debit Card"/>
    <s v="North"/>
    <x v="0"/>
    <d v="2022-09-26T00:00:00"/>
    <n v="749.95"/>
    <s v="Kathleen Bennett"/>
    <s v="Furniture"/>
    <n v="149.99"/>
    <s v="your customer is not Premium customer"/>
    <s v="he is an Basiccustomer"/>
  </r>
  <r>
    <s v="TRX0246"/>
    <x v="6"/>
    <s v="CUST041"/>
    <s v="Peter Richardson"/>
    <s v="P008"/>
    <s v="Bookshelf"/>
    <x v="2"/>
    <n v="3"/>
    <n v="149.99"/>
    <s v="Cash"/>
    <s v="North"/>
    <x v="1"/>
    <d v="2022-09-02T00:00:00"/>
    <n v="449.97"/>
    <s v="Peter Richardson"/>
    <s v="Furniture"/>
    <n v="749.95"/>
    <s v="Premium"/>
    <s v="he is anPremiumcustomer"/>
  </r>
  <r>
    <s v="TRX0067"/>
    <x v="7"/>
    <s v="CUST043"/>
    <s v="Dennis Gray"/>
    <s v="P005"/>
    <s v="Blender"/>
    <x v="1"/>
    <n v="3"/>
    <n v="59.99"/>
    <s v="Credit Card"/>
    <s v="North"/>
    <x v="2"/>
    <d v="2024-02-29T00:00:00"/>
    <n v="179.97"/>
    <s v="Dennis Gray"/>
    <s v="Appliances"/>
    <n v="449.97"/>
    <s v="your customer is not Premium customer"/>
    <s v="he is anStandardcustomer"/>
  </r>
  <r>
    <s v="TRX0191"/>
    <x v="7"/>
    <s v="CUST038"/>
    <s v="Michelle Rogers"/>
    <s v="P002"/>
    <s v="Smartphone"/>
    <x v="0"/>
    <n v="3"/>
    <n v="699.99"/>
    <s v="Credit Card"/>
    <s v="West"/>
    <x v="0"/>
    <d v="2022-01-16T00:00:00"/>
    <n v="2099.9699999999998"/>
    <s v="Michelle Rogers"/>
    <s v="Electronics"/>
    <n v="179.97"/>
    <s v="your customer is not Premium customer"/>
    <s v="he is an Basiccustomer"/>
  </r>
  <r>
    <s v="TRX0230"/>
    <x v="7"/>
    <s v="CUST027"/>
    <s v="George Adams"/>
    <s v="P001"/>
    <s v="Laptop"/>
    <x v="0"/>
    <n v="1"/>
    <n v="899.99"/>
    <s v="Debit Card"/>
    <s v="North"/>
    <x v="2"/>
    <d v="2022-12-25T00:00:00"/>
    <n v="899.99"/>
    <s v="George Adams"/>
    <s v="Electronics"/>
    <n v="2099.9699999999998"/>
    <s v="your customer is not Premium customer"/>
    <s v="he is anStandardcustomer"/>
  </r>
  <r>
    <s v="TRX0049"/>
    <x v="8"/>
    <s v="CUST025"/>
    <s v="Mark Carter"/>
    <s v="P008"/>
    <s v="Bookshelf"/>
    <x v="2"/>
    <n v="4"/>
    <n v="149.99"/>
    <s v="Debit Card"/>
    <s v="North"/>
    <x v="1"/>
    <d v="2024-03-23T00:00:00"/>
    <n v="599.96"/>
    <s v="Mark Carter"/>
    <s v="Furniture"/>
    <n v="899.99"/>
    <s v="Premium"/>
    <s v="he is anPremiumcustomer"/>
  </r>
  <r>
    <s v="TRX0134"/>
    <x v="8"/>
    <s v="CUST010"/>
    <s v="Maria Garcia"/>
    <s v="P002"/>
    <s v="Smartphone"/>
    <x v="0"/>
    <n v="2"/>
    <n v="699.99"/>
    <s v="Cash"/>
    <s v="North"/>
    <x v="0"/>
    <d v="2022-08-08T00:00:00"/>
    <n v="1399.98"/>
    <s v="Maria Garcia"/>
    <s v="Electronics"/>
    <n v="599.96"/>
    <s v="your customer is not Premium customer"/>
    <s v="he is an Basiccustomer"/>
  </r>
  <r>
    <s v="TRX0122"/>
    <x v="8"/>
    <s v="CUST025"/>
    <s v="Mark Carter"/>
    <s v="P001"/>
    <s v="Laptop"/>
    <x v="0"/>
    <n v="4"/>
    <n v="899.99"/>
    <s v="Credit Card"/>
    <s v="West"/>
    <x v="2"/>
    <d v="2024-02-05T00:00:00"/>
    <n v="3599.96"/>
    <s v="Mark Carter"/>
    <s v="Electronics"/>
    <n v="1399.98"/>
    <s v="your customer is not Premium customer"/>
    <s v="he is anStandardcustomer"/>
  </r>
  <r>
    <s v="TRX0222"/>
    <x v="8"/>
    <s v="CUST048"/>
    <s v="Virginia Sanders"/>
    <s v="P009"/>
    <s v="Monitor"/>
    <x v="0"/>
    <n v="3"/>
    <n v="249.99"/>
    <s v="Credit Card"/>
    <s v="North"/>
    <x v="1"/>
    <d v="2023-10-25T00:00:00"/>
    <n v="749.97"/>
    <s v="Virginia Sanders"/>
    <s v="Electronics"/>
    <n v="3599.96"/>
    <s v="Premium"/>
    <s v="he is anPremiumcustomer"/>
  </r>
  <r>
    <s v="TRX0231"/>
    <x v="9"/>
    <s v="CUST018"/>
    <s v="Barbara Young"/>
    <s v="P002"/>
    <s v="Smartphone"/>
    <x v="0"/>
    <n v="5"/>
    <n v="699.99"/>
    <s v="Cash"/>
    <s v="West"/>
    <x v="0"/>
    <d v="2023-08-29T00:00:00"/>
    <n v="3499.95"/>
    <s v="Barbara Young"/>
    <s v="Electronics"/>
    <n v="749.97"/>
    <s v="your customer is not Premium customer"/>
    <s v="he is an Basiccustomer"/>
  </r>
  <r>
    <s v="TRX0239"/>
    <x v="10"/>
    <s v="CUST012"/>
    <s v="Patricia Moore"/>
    <s v="P002"/>
    <s v="Smartphone"/>
    <x v="0"/>
    <n v="4"/>
    <n v="699.99"/>
    <s v="Cash"/>
    <s v="East"/>
    <x v="2"/>
    <d v="2021-08-01T00:00:00"/>
    <n v="2799.96"/>
    <s v="Patricia Moore"/>
    <s v="Electronics"/>
    <n v="3499.95"/>
    <s v="your customer is not Premium customer"/>
    <s v="he is anStandardcustomer"/>
  </r>
  <r>
    <s v="TRX0204"/>
    <x v="11"/>
    <s v="CUST044"/>
    <s v="Cynthia Price"/>
    <s v="P009"/>
    <s v="Monitor"/>
    <x v="0"/>
    <n v="4"/>
    <n v="249.99"/>
    <s v="PayPal"/>
    <s v="North"/>
    <x v="2"/>
    <d v="2021-09-29T00:00:00"/>
    <n v="999.96"/>
    <s v="Cynthia Price"/>
    <s v="Electronics"/>
    <n v="2799.96"/>
    <s v="your customer is not Premium customer"/>
    <s v="he is anStandardcustomer"/>
  </r>
  <r>
    <s v="TRX0242"/>
    <x v="12"/>
    <s v="CUST025"/>
    <s v="Mark Carter"/>
    <s v="P007"/>
    <s v="Desk"/>
    <x v="2"/>
    <n v="4"/>
    <n v="299.99"/>
    <s v="Cash"/>
    <s v="West"/>
    <x v="1"/>
    <d v="2022-06-04T00:00:00"/>
    <n v="1199.96"/>
    <s v="Mark Carter"/>
    <s v="Furniture"/>
    <n v="999.96"/>
    <s v="Premium"/>
    <s v="he is anPremiumcustomer"/>
  </r>
  <r>
    <s v="TRX0071"/>
    <x v="13"/>
    <s v="CUST036"/>
    <s v="Nancy Collins"/>
    <s v="P009"/>
    <s v="Monitor"/>
    <x v="0"/>
    <n v="5"/>
    <n v="249.99"/>
    <s v="Credit Card"/>
    <s v="West"/>
    <x v="2"/>
    <d v="2021-11-25T00:00:00"/>
    <n v="1249.95"/>
    <s v="Nancy Collins"/>
    <s v="Electronics"/>
    <n v="1199.96"/>
    <s v="your customer is not Premium customer"/>
    <s v="he is anStandardcustomer"/>
  </r>
  <r>
    <s v="TRX0040"/>
    <x v="14"/>
    <s v="CUST022"/>
    <s v="Susan Green"/>
    <s v="P007"/>
    <s v="Desk"/>
    <x v="2"/>
    <n v="5"/>
    <n v="299.99"/>
    <s v="PayPal"/>
    <s v="East"/>
    <x v="0"/>
    <d v="2023-08-30T00:00:00"/>
    <n v="1499.95"/>
    <s v="Susan Green"/>
    <s v="Furniture"/>
    <n v="1249.95"/>
    <s v="your customer is not Premium customer"/>
    <s v="he is an Basiccustomer"/>
  </r>
  <r>
    <s v="TRX0235"/>
    <x v="14"/>
    <s v="CUST014"/>
    <s v="Linda Martin"/>
    <s v="P004"/>
    <s v="Coffee Maker"/>
    <x v="1"/>
    <n v="3"/>
    <n v="79.989999999999995"/>
    <s v="PayPal"/>
    <s v="East"/>
    <x v="1"/>
    <d v="2023-03-27T00:00:00"/>
    <n v="239.97"/>
    <s v="Linda Martin"/>
    <s v="Appliances"/>
    <n v="1499.95"/>
    <s v="Premium"/>
    <s v="he is anPremiumcustomer"/>
  </r>
  <r>
    <s v="TRX0004"/>
    <x v="14"/>
    <s v="CUST012"/>
    <s v="Patricia Moore"/>
    <s v="P010"/>
    <s v="Keyboard"/>
    <x v="0"/>
    <n v="5"/>
    <n v="89.99"/>
    <s v="Cash"/>
    <s v="North"/>
    <x v="1"/>
    <d v="2022-12-24T00:00:00"/>
    <n v="449.95"/>
    <s v="Patricia Moore"/>
    <s v="Electronics"/>
    <n v="239.97"/>
    <s v="Premium"/>
    <s v="he is anPremiumcustomer"/>
  </r>
  <r>
    <s v="TRX0063"/>
    <x v="15"/>
    <s v="CUST030"/>
    <s v="Helen Roberts"/>
    <s v="P005"/>
    <s v="Blender"/>
    <x v="1"/>
    <n v="2"/>
    <n v="59.99"/>
    <s v="Debit Card"/>
    <s v="Central"/>
    <x v="2"/>
    <d v="2023-10-15T00:00:00"/>
    <n v="119.98"/>
    <s v="Helen Roberts"/>
    <s v="Appliances"/>
    <n v="449.95"/>
    <s v="your customer is not Premium customer"/>
    <s v="he is anStandardcustomer"/>
  </r>
  <r>
    <s v="TRX0241"/>
    <x v="16"/>
    <s v="CUST029"/>
    <s v="Edward Mitchell"/>
    <s v="P005"/>
    <s v="Blender"/>
    <x v="1"/>
    <n v="4"/>
    <n v="59.99"/>
    <s v="Debit Card"/>
    <s v="East"/>
    <x v="2"/>
    <d v="2022-11-02T00:00:00"/>
    <n v="239.96"/>
    <s v="Edward Mitchell"/>
    <s v="Appliances"/>
    <n v="119.98"/>
    <s v="your customer is not Premium customer"/>
    <s v="he is anStandardcustomer"/>
  </r>
  <r>
    <s v="TRX0029"/>
    <x v="16"/>
    <s v="CUST017"/>
    <s v="Charles Allen"/>
    <s v="P006"/>
    <s v="Office Chair"/>
    <x v="2"/>
    <n v="5"/>
    <n v="199.99"/>
    <s v="Cash"/>
    <s v="South"/>
    <x v="2"/>
    <d v="2021-08-04T00:00:00"/>
    <n v="999.95"/>
    <s v="Charles Allen"/>
    <s v="Furniture"/>
    <n v="239.96"/>
    <s v="your customer is not Premium customer"/>
    <s v="he is anStandardcustomer"/>
  </r>
  <r>
    <s v="TRX0194"/>
    <x v="17"/>
    <s v="CUST006"/>
    <s v="Lisa Anderson"/>
    <s v="P008"/>
    <s v="Bookshelf"/>
    <x v="2"/>
    <n v="2"/>
    <n v="149.99"/>
    <s v="Credit Card"/>
    <s v="West"/>
    <x v="0"/>
    <d v="2022-09-19T00:00:00"/>
    <n v="299.98"/>
    <s v="Lisa Anderson"/>
    <s v="Furniture"/>
    <n v="999.95"/>
    <s v="your customer is not Premium customer"/>
    <s v="he is an Basiccustomer"/>
  </r>
  <r>
    <s v="TRX0130"/>
    <x v="18"/>
    <s v="CUST002"/>
    <s v="Emma Wilson"/>
    <s v="P008"/>
    <s v="Bookshelf"/>
    <x v="2"/>
    <n v="3"/>
    <n v="149.99"/>
    <s v="Credit Card"/>
    <s v="West"/>
    <x v="1"/>
    <d v="2023-05-22T00:00:00"/>
    <n v="449.97"/>
    <s v="Emma Wilson"/>
    <s v="Furniture"/>
    <n v="299.98"/>
    <s v="Premium"/>
    <s v="he is anPremiumcustomer"/>
  </r>
  <r>
    <s v="TRX0041"/>
    <x v="19"/>
    <s v="CUST021"/>
    <s v="Kevin Scott"/>
    <s v="P001"/>
    <s v="Laptop"/>
    <x v="0"/>
    <n v="1"/>
    <n v="899.99"/>
    <s v="Credit Card"/>
    <s v="West"/>
    <x v="1"/>
    <d v="2022-01-17T00:00:00"/>
    <n v="899.99"/>
    <s v="Kevin Scott"/>
    <s v="Electronics"/>
    <n v="449.97"/>
    <s v="Premium"/>
    <s v="he is anPremiumcustomer"/>
  </r>
  <r>
    <s v="TRX0232"/>
    <x v="20"/>
    <s v="CUST012"/>
    <s v="Patricia Moore"/>
    <s v="P007"/>
    <s v="Desk"/>
    <x v="2"/>
    <n v="3"/>
    <n v="299.99"/>
    <s v="Credit Card"/>
    <s v="East"/>
    <x v="0"/>
    <d v="2022-09-20T00:00:00"/>
    <n v="899.97"/>
    <s v="Patricia Moore"/>
    <s v="Furniture"/>
    <n v="899.99"/>
    <s v="your customer is not Premium customer"/>
    <s v="he is an Basiccustomer"/>
  </r>
  <r>
    <s v="TRX0021"/>
    <x v="21"/>
    <s v="CUST006"/>
    <s v="Lisa Anderson"/>
    <s v="P004"/>
    <s v="Coffee Maker"/>
    <x v="1"/>
    <n v="3"/>
    <n v="79.989999999999995"/>
    <s v="Cash"/>
    <s v="South"/>
    <x v="0"/>
    <d v="2023-04-30T00:00:00"/>
    <n v="239.97"/>
    <s v="Lisa Anderson"/>
    <s v="Appliances"/>
    <n v="899.97"/>
    <s v="your customer is not Premium customer"/>
    <s v="he is an Basiccustomer"/>
  </r>
  <r>
    <s v="TRX0245"/>
    <x v="22"/>
    <s v="CUST031"/>
    <s v="Steven Turner"/>
    <s v="P006"/>
    <s v="Office Chair"/>
    <x v="2"/>
    <n v="3"/>
    <n v="199.99"/>
    <s v="Credit Card"/>
    <s v="North"/>
    <x v="1"/>
    <d v="2024-01-01T00:00:00"/>
    <n v="599.97"/>
    <s v="Steven Turner"/>
    <s v="Furniture"/>
    <n v="239.97"/>
    <s v="Premium"/>
    <s v="he is anPremiumcustomer"/>
  </r>
  <r>
    <s v="TRX0015"/>
    <x v="23"/>
    <s v="CUST008"/>
    <s v="Jennifer Taylor"/>
    <s v="P002"/>
    <s v="Smartphone"/>
    <x v="0"/>
    <n v="5"/>
    <n v="699.99"/>
    <s v="PayPal"/>
    <s v="West"/>
    <x v="2"/>
    <d v="2021-07-30T00:00:00"/>
    <n v="3499.95"/>
    <s v="Jennifer Taylor"/>
    <s v="Electronics"/>
    <n v="599.97"/>
    <s v="your customer is not Premium customer"/>
    <s v="he is anStandardcustomer"/>
  </r>
  <r>
    <s v="TRX0202"/>
    <x v="24"/>
    <s v="CUST035"/>
    <s v="Harry Morgan"/>
    <s v="P010"/>
    <s v="Keyboard"/>
    <x v="0"/>
    <n v="3"/>
    <n v="89.99"/>
    <s v="PayPal"/>
    <s v="Central"/>
    <x v="1"/>
    <d v="2023-07-13T00:00:00"/>
    <n v="269.97000000000003"/>
    <s v="Harry Morgan"/>
    <s v="Electronics"/>
    <n v="3499.95"/>
    <s v="Premium"/>
    <s v="he is anPremiumcustomer"/>
  </r>
  <r>
    <s v="TRX0042"/>
    <x v="25"/>
    <s v="CUST019"/>
    <s v="Daniel King"/>
    <s v="P004"/>
    <s v="Coffee Maker"/>
    <x v="1"/>
    <n v="1"/>
    <n v="79.989999999999995"/>
    <s v="Cash"/>
    <s v="North"/>
    <x v="2"/>
    <d v="2022-12-22T00:00:00"/>
    <n v="79.989999999999995"/>
    <s v="Daniel King"/>
    <s v="Appliances"/>
    <n v="269.97000000000003"/>
    <s v="your customer is not Premium customer"/>
    <s v="he is anStandardcustomer"/>
  </r>
  <r>
    <s v="TRX0128"/>
    <x v="26"/>
    <s v="CUST040"/>
    <s v="Sharon Butler"/>
    <s v="P005"/>
    <s v="Blender"/>
    <x v="1"/>
    <n v="2"/>
    <n v="59.99"/>
    <s v="Cash"/>
    <s v="West"/>
    <x v="0"/>
    <d v="2024-04-08T00:00:00"/>
    <n v="119.98"/>
    <s v="Sharon Butler"/>
    <s v="Appliances"/>
    <n v="79.989999999999995"/>
    <s v="your customer is not Premium customer"/>
    <s v="he is an Basiccustomer"/>
  </r>
  <r>
    <s v="TRX0117"/>
    <x v="26"/>
    <s v="CUST017"/>
    <s v="Charles Allen"/>
    <s v="P010"/>
    <s v="Keyboard"/>
    <x v="0"/>
    <n v="1"/>
    <n v="89.99"/>
    <s v="Cash"/>
    <s v="North"/>
    <x v="0"/>
    <d v="2023-08-03T00:00:00"/>
    <n v="89.99"/>
    <s v="Charles Allen"/>
    <s v="Electronics"/>
    <n v="119.98"/>
    <s v="your customer is not Premium customer"/>
    <s v="he is an Basiccustomer"/>
  </r>
  <r>
    <s v="TRX0208"/>
    <x v="27"/>
    <s v="CUST004"/>
    <s v="Sarah Davis"/>
    <s v="P010"/>
    <s v="Keyboard"/>
    <x v="0"/>
    <n v="5"/>
    <n v="89.99"/>
    <s v="Credit Card"/>
    <s v="East"/>
    <x v="2"/>
    <d v="2022-01-26T00:00:00"/>
    <n v="449.95"/>
    <s v="Sarah Davis"/>
    <s v="Electronics"/>
    <n v="89.99"/>
    <s v="your customer is not Premium customer"/>
    <s v="he is anStandardcustomer"/>
  </r>
  <r>
    <s v="TRX0234"/>
    <x v="28"/>
    <s v="CUST013"/>
    <s v="Joseph Jackson"/>
    <s v="P009"/>
    <s v="Monitor"/>
    <x v="0"/>
    <n v="5"/>
    <n v="249.99"/>
    <s v="Credit Card"/>
    <s v="East"/>
    <x v="2"/>
    <d v="2022-05-26T00:00:00"/>
    <n v="1249.95"/>
    <s v="Joseph Jackson"/>
    <s v="Electronics"/>
    <n v="449.95"/>
    <s v="your customer is not Premium customer"/>
    <s v="he is anStandardcustomer"/>
  </r>
  <r>
    <s v="TRX0121"/>
    <x v="28"/>
    <s v="CUST028"/>
    <s v="Betty Campbell"/>
    <s v="P010"/>
    <s v="Keyboard"/>
    <x v="0"/>
    <n v="1"/>
    <n v="89.99"/>
    <s v="Credit Card"/>
    <s v="South"/>
    <x v="2"/>
    <d v="2022-01-21T00:00:00"/>
    <n v="89.99"/>
    <s v="Betty Campbell"/>
    <s v="Electronics"/>
    <n v="1249.95"/>
    <s v="your customer is not Premium customer"/>
    <s v="he is anStandardcustomer"/>
  </r>
  <r>
    <s v="TRX0220"/>
    <x v="29"/>
    <s v="CUST003"/>
    <s v="Michael Brown"/>
    <s v="P008"/>
    <s v="Bookshelf"/>
    <x v="2"/>
    <n v="2"/>
    <n v="149.99"/>
    <s v="Cash"/>
    <s v="East"/>
    <x v="1"/>
    <d v="2022-03-25T00:00:00"/>
    <n v="299.98"/>
    <s v="Michael Brown"/>
    <s v="Furniture"/>
    <n v="89.99"/>
    <s v="Premium"/>
    <s v="he is anPremiumcustomer"/>
  </r>
  <r>
    <s v="TRX0093"/>
    <x v="30"/>
    <s v="CUST050"/>
    <s v="Julie Foster"/>
    <s v="P005"/>
    <s v="Blender"/>
    <x v="1"/>
    <n v="4"/>
    <n v="59.99"/>
    <s v="Cash"/>
    <s v="East"/>
    <x v="2"/>
    <d v="2021-08-27T00:00:00"/>
    <n v="239.96"/>
    <s v="Julie Foster"/>
    <s v="Appliances"/>
    <n v="299.98"/>
    <s v="your customer is not Premium customer"/>
    <s v="he is anStandardcustomer"/>
  </r>
  <r>
    <s v="TRX0088"/>
    <x v="31"/>
    <s v="CUST006"/>
    <s v="Lisa Anderson"/>
    <s v="P010"/>
    <s v="Keyboard"/>
    <x v="0"/>
    <n v="5"/>
    <n v="89.99"/>
    <s v="Cash"/>
    <s v="Central"/>
    <x v="1"/>
    <d v="2022-01-18T00:00:00"/>
    <n v="449.95"/>
    <s v="Lisa Anderson"/>
    <s v="Electronics"/>
    <n v="239.96"/>
    <s v="Premium"/>
    <s v="he is anPremiumcustomer"/>
  </r>
  <r>
    <s v="TRX0115"/>
    <x v="32"/>
    <s v="CUST012"/>
    <s v="Patricia Moore"/>
    <s v="P010"/>
    <s v="Keyboard"/>
    <x v="0"/>
    <n v="2"/>
    <n v="89.99"/>
    <s v="Credit Card"/>
    <s v="South"/>
    <x v="1"/>
    <d v="2021-10-02T00:00:00"/>
    <n v="179.98"/>
    <s v="Patricia Moore"/>
    <s v="Electronics"/>
    <n v="449.95"/>
    <s v="Premium"/>
    <s v="he is anPremiumcustomer"/>
  </r>
  <r>
    <s v="TRX0154"/>
    <x v="32"/>
    <s v="CUST023"/>
    <s v="Paul Baker"/>
    <s v="P001"/>
    <s v="Laptop"/>
    <x v="0"/>
    <n v="5"/>
    <n v="899.99"/>
    <s v="Credit Card"/>
    <s v="South"/>
    <x v="2"/>
    <d v="2023-02-17T00:00:00"/>
    <n v="4499.95"/>
    <s v="Paul Baker"/>
    <s v="Electronics"/>
    <n v="179.98"/>
    <s v="your customer is not Premium customer"/>
    <s v="he is anStandardcustomer"/>
  </r>
  <r>
    <s v="TRX0044"/>
    <x v="32"/>
    <s v="CUST029"/>
    <s v="Edward Mitchell"/>
    <s v="P001"/>
    <s v="Laptop"/>
    <x v="0"/>
    <n v="5"/>
    <n v="899.99"/>
    <s v="PayPal"/>
    <s v="East"/>
    <x v="1"/>
    <d v="2023-12-18T00:00:00"/>
    <n v="4499.95"/>
    <s v="Edward Mitchell"/>
    <s v="Electronics"/>
    <n v="4499.95"/>
    <s v="Premium"/>
    <s v="he is anPremiumcustomer"/>
  </r>
  <r>
    <s v="TRX0061"/>
    <x v="33"/>
    <s v="CUST028"/>
    <s v="Betty Campbell"/>
    <s v="P005"/>
    <s v="Blender"/>
    <x v="1"/>
    <n v="1"/>
    <n v="59.99"/>
    <s v="Debit Card"/>
    <s v="West"/>
    <x v="1"/>
    <d v="2023-09-21T00:00:00"/>
    <n v="59.99"/>
    <s v="Betty Campbell"/>
    <s v="Appliances"/>
    <n v="4499.95"/>
    <s v="Premium"/>
    <s v="he is anPremiumcustomer"/>
  </r>
  <r>
    <s v="TRX0150"/>
    <x v="33"/>
    <s v="CUST008"/>
    <s v="Jennifer Taylor"/>
    <s v="P007"/>
    <s v="Desk"/>
    <x v="2"/>
    <n v="2"/>
    <n v="299.99"/>
    <s v="Debit Card"/>
    <s v="East"/>
    <x v="2"/>
    <d v="2023-11-23T00:00:00"/>
    <n v="599.98"/>
    <s v="Jennifer Taylor"/>
    <s v="Furniture"/>
    <n v="59.99"/>
    <s v="your customer is not Premium customer"/>
    <s v="he is anStandardcustomer"/>
  </r>
  <r>
    <s v="TRX0025"/>
    <x v="34"/>
    <s v="CUST049"/>
    <s v="Raymond Ross"/>
    <s v="P010"/>
    <s v="Keyboard"/>
    <x v="0"/>
    <n v="4"/>
    <n v="89.99"/>
    <s v="Debit Card"/>
    <s v="South"/>
    <x v="0"/>
    <d v="2023-12-21T00:00:00"/>
    <n v="359.96"/>
    <s v="Raymond Ross"/>
    <s v="Electronics"/>
    <n v="599.98"/>
    <s v="your customer is not Premium customer"/>
    <s v="he is an Basiccustomer"/>
  </r>
  <r>
    <s v="TRX0078"/>
    <x v="35"/>
    <s v="CUST021"/>
    <s v="Kevin Scott"/>
    <s v="P004"/>
    <s v="Coffee Maker"/>
    <x v="1"/>
    <n v="1"/>
    <n v="79.989999999999995"/>
    <s v="PayPal"/>
    <s v="Central"/>
    <x v="1"/>
    <d v="2024-03-01T00:00:00"/>
    <n v="79.989999999999995"/>
    <s v="Kevin Scott"/>
    <s v="Appliances"/>
    <n v="359.96"/>
    <s v="Premium"/>
    <s v="he is anPremiumcustomer"/>
  </r>
  <r>
    <s v="TRX0007"/>
    <x v="35"/>
    <s v="CUST009"/>
    <s v="Robert Thomas"/>
    <s v="P010"/>
    <s v="Keyboard"/>
    <x v="0"/>
    <n v="2"/>
    <n v="89.99"/>
    <s v="Cash"/>
    <s v="West"/>
    <x v="0"/>
    <d v="2021-08-30T00:00:00"/>
    <n v="179.98"/>
    <s v="Robert Thomas"/>
    <s v="Electronics"/>
    <n v="79.989999999999995"/>
    <s v="your customer is not Premium customer"/>
    <s v="he is an Basiccustomer"/>
  </r>
  <r>
    <s v="TRX0184"/>
    <x v="36"/>
    <s v="CUST046"/>
    <s v="Kathleen Bennett"/>
    <s v="P002"/>
    <s v="Smartphone"/>
    <x v="0"/>
    <n v="3"/>
    <n v="699.99"/>
    <s v="Credit Card"/>
    <s v="East"/>
    <x v="1"/>
    <d v="2023-06-25T00:00:00"/>
    <n v="2099.9699999999998"/>
    <s v="Kathleen Bennett"/>
    <s v="Electronics"/>
    <n v="179.98"/>
    <s v="Premium"/>
    <s v="he is anPremiumcustomer"/>
  </r>
  <r>
    <s v="TRX0104"/>
    <x v="36"/>
    <s v="CUST012"/>
    <s v="Patricia Moore"/>
    <s v="P001"/>
    <s v="Laptop"/>
    <x v="0"/>
    <n v="4"/>
    <n v="899.99"/>
    <s v="Credit Card"/>
    <s v="East"/>
    <x v="1"/>
    <d v="2023-03-08T00:00:00"/>
    <n v="3599.96"/>
    <s v="Patricia Moore"/>
    <s v="Electronics"/>
    <n v="2099.9699999999998"/>
    <s v="Premium"/>
    <s v="he is anPremiumcustomer"/>
  </r>
  <r>
    <s v="TRX0127"/>
    <x v="37"/>
    <s v="CUST030"/>
    <s v="Helen Roberts"/>
    <s v="P008"/>
    <s v="Bookshelf"/>
    <x v="2"/>
    <n v="1"/>
    <n v="149.99"/>
    <s v="PayPal"/>
    <s v="East"/>
    <x v="0"/>
    <d v="2022-10-17T00:00:00"/>
    <n v="149.99"/>
    <s v="Helen Roberts"/>
    <s v="Furniture"/>
    <n v="3599.96"/>
    <s v="your customer is not Premium customer"/>
    <s v="he is an Basiccustomer"/>
  </r>
  <r>
    <s v="TRX0096"/>
    <x v="38"/>
    <s v="CUST002"/>
    <s v="Emma Wilson"/>
    <s v="P010"/>
    <s v="Keyboard"/>
    <x v="0"/>
    <n v="2"/>
    <n v="89.99"/>
    <s v="PayPal"/>
    <s v="Central"/>
    <x v="1"/>
    <d v="2023-12-15T00:00:00"/>
    <n v="179.98"/>
    <s v="Emma Wilson"/>
    <s v="Electronics"/>
    <n v="149.99"/>
    <s v="Premium"/>
    <s v="he is anPremiumcustomer"/>
  </r>
  <r>
    <s v="TRX0192"/>
    <x v="39"/>
    <s v="CUST017"/>
    <s v="Charles Allen"/>
    <s v="P010"/>
    <s v="Keyboard"/>
    <x v="0"/>
    <n v="1"/>
    <n v="89.99"/>
    <s v="PayPal"/>
    <s v="West"/>
    <x v="2"/>
    <d v="2022-08-29T00:00:00"/>
    <n v="89.99"/>
    <s v="Charles Allen"/>
    <s v="Electronics"/>
    <n v="179.98"/>
    <s v="your customer is not Premium customer"/>
    <s v="he is anStandardcustomer"/>
  </r>
  <r>
    <s v="TRX0052"/>
    <x v="40"/>
    <s v="CUST022"/>
    <s v="Susan Green"/>
    <s v="P010"/>
    <s v="Keyboard"/>
    <x v="0"/>
    <n v="1"/>
    <n v="89.99"/>
    <s v="Cash"/>
    <s v="South"/>
    <x v="2"/>
    <d v="2022-02-19T00:00:00"/>
    <n v="89.99"/>
    <s v="Susan Green"/>
    <s v="Electronics"/>
    <n v="89.99"/>
    <s v="your customer is not Premium customer"/>
    <s v="he is anStandardcustomer"/>
  </r>
  <r>
    <s v="TRX0070"/>
    <x v="40"/>
    <s v="CUST007"/>
    <s v="David Martinez"/>
    <s v="P004"/>
    <s v="Coffee Maker"/>
    <x v="1"/>
    <n v="5"/>
    <n v="79.989999999999995"/>
    <s v="Debit Card"/>
    <s v="Central"/>
    <x v="0"/>
    <d v="2023-02-24T00:00:00"/>
    <n v="399.95"/>
    <s v="David Martinez"/>
    <s v="Appliances"/>
    <n v="89.99"/>
    <s v="your customer is not Premium customer"/>
    <s v="he is an Basiccustomer"/>
  </r>
  <r>
    <s v="TRX0086"/>
    <x v="41"/>
    <s v="CUST020"/>
    <s v="Margaret Wright"/>
    <s v="P008"/>
    <s v="Bookshelf"/>
    <x v="2"/>
    <n v="1"/>
    <n v="149.99"/>
    <s v="PayPal"/>
    <s v="North"/>
    <x v="0"/>
    <d v="2021-08-13T00:00:00"/>
    <n v="149.99"/>
    <s v="Margaret Wright"/>
    <s v="Furniture"/>
    <n v="399.95"/>
    <s v="your customer is not Premium customer"/>
    <s v="he is an Basiccustomer"/>
  </r>
  <r>
    <s v="TRX0113"/>
    <x v="41"/>
    <s v="CUST003"/>
    <s v="Michael Brown"/>
    <s v="P002"/>
    <s v="Smartphone"/>
    <x v="0"/>
    <n v="2"/>
    <n v="699.99"/>
    <s v="PayPal"/>
    <s v="East"/>
    <x v="1"/>
    <d v="2024-04-07T00:00:00"/>
    <n v="1399.98"/>
    <s v="Michael Brown"/>
    <s v="Electronics"/>
    <n v="149.99"/>
    <s v="Premium"/>
    <s v="he is anPremiumcustomer"/>
  </r>
  <r>
    <s v="TRX0114"/>
    <x v="41"/>
    <s v="CUST018"/>
    <s v="Barbara Young"/>
    <s v="P010"/>
    <s v="Keyboard"/>
    <x v="0"/>
    <n v="5"/>
    <n v="89.99"/>
    <s v="Debit Card"/>
    <s v="North"/>
    <x v="1"/>
    <d v="2023-08-23T00:00:00"/>
    <n v="449.95"/>
    <s v="Barbara Young"/>
    <s v="Electronics"/>
    <n v="1399.98"/>
    <s v="Premium"/>
    <s v="he is anPremiumcustomer"/>
  </r>
  <r>
    <s v="TRX0136"/>
    <x v="42"/>
    <s v="CUST049"/>
    <s v="Raymond Ross"/>
    <s v="P005"/>
    <s v="Blender"/>
    <x v="1"/>
    <n v="4"/>
    <n v="59.99"/>
    <s v="Cash"/>
    <s v="South"/>
    <x v="2"/>
    <d v="2021-11-09T00:00:00"/>
    <n v="239.96"/>
    <s v="Raymond Ross"/>
    <s v="Appliances"/>
    <n v="449.95"/>
    <s v="your customer is not Premium customer"/>
    <s v="he is anStandardcustomer"/>
  </r>
  <r>
    <s v="TRX0018"/>
    <x v="43"/>
    <s v="CUST013"/>
    <s v="Joseph Jackson"/>
    <s v="P003"/>
    <s v="Headphones"/>
    <x v="0"/>
    <n v="1"/>
    <n v="149.99"/>
    <s v="Cash"/>
    <s v="Central"/>
    <x v="2"/>
    <d v="2022-12-14T00:00:00"/>
    <n v="149.99"/>
    <s v="Joseph Jackson"/>
    <s v="Electronics"/>
    <n v="239.96"/>
    <s v="your customer is not Premium customer"/>
    <s v="he is anStandardcustomer"/>
  </r>
  <r>
    <s v="TRX0141"/>
    <x v="43"/>
    <s v="CUST033"/>
    <s v="Frank Torres"/>
    <s v="P007"/>
    <s v="Desk"/>
    <x v="2"/>
    <n v="1"/>
    <n v="299.99"/>
    <s v="Credit Card"/>
    <s v="North"/>
    <x v="1"/>
    <d v="2022-11-26T00:00:00"/>
    <n v="299.99"/>
    <s v="Frank Torres"/>
    <s v="Furniture"/>
    <n v="149.99"/>
    <s v="Premium"/>
    <s v="he is anPremiumcustomer"/>
  </r>
  <r>
    <s v="TRX0097"/>
    <x v="44"/>
    <s v="CUST033"/>
    <s v="Frank Torres"/>
    <s v="P006"/>
    <s v="Office Chair"/>
    <x v="2"/>
    <n v="2"/>
    <n v="199.99"/>
    <s v="Cash"/>
    <s v="North"/>
    <x v="0"/>
    <d v="2021-12-11T00:00:00"/>
    <n v="399.98"/>
    <s v="Frank Torres"/>
    <s v="Furniture"/>
    <n v="299.99"/>
    <s v="your customer is not Premium customer"/>
    <s v="he is an Basiccustomer"/>
  </r>
  <r>
    <s v="TRX0169"/>
    <x v="45"/>
    <s v="CUST047"/>
    <s v="Gerald Murphy"/>
    <s v="P005"/>
    <s v="Blender"/>
    <x v="1"/>
    <n v="3"/>
    <n v="59.99"/>
    <s v="Credit Card"/>
    <s v="West"/>
    <x v="0"/>
    <d v="2023-07-23T00:00:00"/>
    <n v="179.97"/>
    <s v="Gerald Murphy"/>
    <s v="Appliances"/>
    <n v="399.98"/>
    <s v="your customer is not Premium customer"/>
    <s v="he is an Basiccustomer"/>
  </r>
  <r>
    <s v="TRX0216"/>
    <x v="45"/>
    <s v="CUST041"/>
    <s v="Peter Richardson"/>
    <s v="P008"/>
    <s v="Bookshelf"/>
    <x v="2"/>
    <n v="3"/>
    <n v="149.99"/>
    <s v="Cash"/>
    <s v="Central"/>
    <x v="1"/>
    <d v="2023-09-30T00:00:00"/>
    <n v="449.97"/>
    <s v="Peter Richardson"/>
    <s v="Furniture"/>
    <n v="179.97"/>
    <s v="Premium"/>
    <s v="he is anPremiumcustomer"/>
  </r>
  <r>
    <s v="TRX0131"/>
    <x v="46"/>
    <s v="CUST026"/>
    <s v="Karen Hill"/>
    <s v="P006"/>
    <s v="Office Chair"/>
    <x v="2"/>
    <n v="3"/>
    <n v="199.99"/>
    <s v="Cash"/>
    <s v="North"/>
    <x v="1"/>
    <d v="2023-11-24T00:00:00"/>
    <n v="599.97"/>
    <s v="Karen Hill"/>
    <s v="Furniture"/>
    <n v="449.97"/>
    <s v="Premium"/>
    <s v="he is anPremiumcustomer"/>
  </r>
  <r>
    <s v="TRX0162"/>
    <x v="47"/>
    <s v="CUST040"/>
    <s v="Sharon Butler"/>
    <s v="P001"/>
    <s v="Laptop"/>
    <x v="0"/>
    <n v="1"/>
    <n v="899.99"/>
    <s v="Cash"/>
    <s v="Central"/>
    <x v="2"/>
    <d v="2023-09-10T00:00:00"/>
    <n v="899.99"/>
    <s v="Sharon Butler"/>
    <s v="Electronics"/>
    <n v="599.97"/>
    <s v="your customer is not Premium customer"/>
    <s v="he is anStandardcustomer"/>
  </r>
  <r>
    <s v="TRX0244"/>
    <x v="48"/>
    <s v="CUST013"/>
    <s v="Joseph Jackson"/>
    <s v="P001"/>
    <s v="Laptop"/>
    <x v="0"/>
    <n v="5"/>
    <n v="899.99"/>
    <s v="Debit Card"/>
    <s v="South"/>
    <x v="2"/>
    <d v="2022-12-04T00:00:00"/>
    <n v="4499.95"/>
    <s v="Joseph Jackson"/>
    <s v="Electronics"/>
    <n v="899.99"/>
    <s v="your customer is not Premium customer"/>
    <s v="he is anStandardcustomer"/>
  </r>
  <r>
    <s v="TRX0006"/>
    <x v="49"/>
    <s v="CUST007"/>
    <s v="David Martinez"/>
    <s v="P005"/>
    <s v="Blender"/>
    <x v="1"/>
    <n v="2"/>
    <n v="59.99"/>
    <s v="Cash"/>
    <s v="North"/>
    <x v="2"/>
    <d v="2023-08-14T00:00:00"/>
    <n v="119.98"/>
    <s v="David Martinez"/>
    <s v="Appliances"/>
    <n v="4499.95"/>
    <s v="your customer is not Premium customer"/>
    <s v="he is anStandardcustomer"/>
  </r>
  <r>
    <s v="TRX0215"/>
    <x v="49"/>
    <s v="CUST047"/>
    <s v="Gerald Murphy"/>
    <s v="P009"/>
    <s v="Monitor"/>
    <x v="0"/>
    <n v="4"/>
    <n v="249.99"/>
    <s v="Debit Card"/>
    <s v="Central"/>
    <x v="2"/>
    <d v="2023-07-20T00:00:00"/>
    <n v="999.96"/>
    <s v="Gerald Murphy"/>
    <s v="Electronics"/>
    <n v="119.98"/>
    <s v="your customer is not Premium customer"/>
    <s v="he is anStandardcustomer"/>
  </r>
  <r>
    <s v="TRX0080"/>
    <x v="50"/>
    <s v="CUST018"/>
    <s v="Barbara Young"/>
    <s v="P009"/>
    <s v="Monitor"/>
    <x v="0"/>
    <n v="2"/>
    <n v="249.99"/>
    <s v="Cash"/>
    <s v="North"/>
    <x v="1"/>
    <d v="2023-08-26T00:00:00"/>
    <n v="499.98"/>
    <s v="Barbara Young"/>
    <s v="Electronics"/>
    <n v="999.96"/>
    <s v="Premium"/>
    <s v="he is anPremiumcustomer"/>
  </r>
  <r>
    <s v="TRX0228"/>
    <x v="50"/>
    <s v="CUST019"/>
    <s v="Daniel King"/>
    <s v="P007"/>
    <s v="Desk"/>
    <x v="2"/>
    <n v="1"/>
    <n v="299.99"/>
    <s v="Cash"/>
    <s v="South"/>
    <x v="0"/>
    <d v="2023-02-25T00:00:00"/>
    <n v="299.99"/>
    <s v="Daniel King"/>
    <s v="Furniture"/>
    <n v="499.98"/>
    <s v="your customer is not Premium customer"/>
    <s v="he is an Basiccustomer"/>
  </r>
  <r>
    <s v="TRX0157"/>
    <x v="51"/>
    <s v="CUST025"/>
    <s v="Mark Carter"/>
    <s v="P010"/>
    <s v="Keyboard"/>
    <x v="0"/>
    <n v="2"/>
    <n v="89.99"/>
    <s v="PayPal"/>
    <s v="South"/>
    <x v="0"/>
    <d v="2023-02-19T00:00:00"/>
    <n v="179.98"/>
    <s v="Mark Carter"/>
    <s v="Electronics"/>
    <n v="299.99"/>
    <s v="your customer is not Premium customer"/>
    <s v="he is an Basiccustomer"/>
  </r>
  <r>
    <s v="TRX0002"/>
    <x v="51"/>
    <s v="CUST019"/>
    <s v="Daniel King"/>
    <s v="P007"/>
    <s v="Desk"/>
    <x v="2"/>
    <n v="3"/>
    <n v="299.99"/>
    <s v="Cash"/>
    <s v="Central"/>
    <x v="0"/>
    <d v="2022-06-20T00:00:00"/>
    <n v="899.97"/>
    <s v="Daniel King"/>
    <s v="Furniture"/>
    <n v="179.98"/>
    <s v="your customer is not Premium customer"/>
    <s v="he is an Basiccustomer"/>
  </r>
  <r>
    <s v="TRX0217"/>
    <x v="52"/>
    <s v="CUST025"/>
    <s v="Mark Carter"/>
    <s v="P002"/>
    <s v="Smartphone"/>
    <x v="0"/>
    <n v="2"/>
    <n v="699.99"/>
    <s v="Credit Card"/>
    <s v="North"/>
    <x v="1"/>
    <d v="2023-03-14T00:00:00"/>
    <n v="1399.98"/>
    <s v="Mark Carter"/>
    <s v="Electronics"/>
    <n v="899.97"/>
    <s v="Premium"/>
    <s v="he is anPremiumcustomer"/>
  </r>
  <r>
    <s v="TRX0249"/>
    <x v="53"/>
    <s v="CUST030"/>
    <s v="Helen Roberts"/>
    <s v="P001"/>
    <s v="Laptop"/>
    <x v="0"/>
    <n v="4"/>
    <n v="899.99"/>
    <s v="Debit Card"/>
    <s v="South"/>
    <x v="2"/>
    <d v="2021-11-23T00:00:00"/>
    <n v="3599.96"/>
    <s v="Helen Roberts"/>
    <s v="Electronics"/>
    <n v="1399.98"/>
    <s v="your customer is not Premium customer"/>
    <s v="he is anStandardcustomer"/>
  </r>
  <r>
    <s v="TRX0065"/>
    <x v="54"/>
    <s v="CUST016"/>
    <s v="Elizabeth Hall"/>
    <s v="P008"/>
    <s v="Bookshelf"/>
    <x v="2"/>
    <n v="2"/>
    <n v="149.99"/>
    <s v="Credit Card"/>
    <s v="West"/>
    <x v="0"/>
    <d v="2021-12-12T00:00:00"/>
    <n v="299.98"/>
    <s v="Elizabeth Hall"/>
    <s v="Furniture"/>
    <n v="3599.96"/>
    <s v="your customer is not Premium customer"/>
    <s v="he is an Basiccustomer"/>
  </r>
  <r>
    <s v="TRX0176"/>
    <x v="55"/>
    <s v="CUST044"/>
    <s v="Cynthia Price"/>
    <s v="P008"/>
    <s v="Bookshelf"/>
    <x v="2"/>
    <n v="2"/>
    <n v="149.99"/>
    <s v="Debit Card"/>
    <s v="East"/>
    <x v="2"/>
    <d v="2022-04-16T00:00:00"/>
    <n v="299.98"/>
    <s v="Cynthia Price"/>
    <s v="Furniture"/>
    <n v="299.98"/>
    <s v="your customer is not Premium customer"/>
    <s v="he is anStandardcustomer"/>
  </r>
  <r>
    <s v="TRX0101"/>
    <x v="56"/>
    <s v="CUST010"/>
    <s v="Maria Garcia"/>
    <s v="P010"/>
    <s v="Keyboard"/>
    <x v="0"/>
    <n v="1"/>
    <n v="89.99"/>
    <s v="Credit Card"/>
    <s v="North"/>
    <x v="2"/>
    <d v="2024-04-11T00:00:00"/>
    <n v="89.99"/>
    <s v="Maria Garcia"/>
    <s v="Electronics"/>
    <n v="299.98"/>
    <s v="your customer is not Premium customer"/>
    <s v="he is anStandardcustomer"/>
  </r>
  <r>
    <s v="TRX0205"/>
    <x v="57"/>
    <s v="CUST025"/>
    <s v="Mark Carter"/>
    <s v="P007"/>
    <s v="Desk"/>
    <x v="2"/>
    <n v="5"/>
    <n v="299.99"/>
    <s v="Credit Card"/>
    <s v="North"/>
    <x v="0"/>
    <d v="2023-02-08T00:00:00"/>
    <n v="1499.95"/>
    <s v="Mark Carter"/>
    <s v="Furniture"/>
    <n v="89.99"/>
    <s v="your customer is not Premium customer"/>
    <s v="he is an Basiccustomer"/>
  </r>
  <r>
    <s v="TRX0020"/>
    <x v="58"/>
    <s v="CUST007"/>
    <s v="David Martinez"/>
    <s v="P003"/>
    <s v="Headphones"/>
    <x v="0"/>
    <n v="4"/>
    <n v="149.99"/>
    <s v="Debit Card"/>
    <s v="South"/>
    <x v="1"/>
    <d v="2022-09-16T00:00:00"/>
    <n v="599.96"/>
    <s v="David Martinez"/>
    <s v="Electronics"/>
    <n v="1499.95"/>
    <s v="Premium"/>
    <s v="he is anPremiumcustomer"/>
  </r>
  <r>
    <s v="TRX0075"/>
    <x v="58"/>
    <s v="CUST020"/>
    <s v="Margaret Wright"/>
    <s v="P009"/>
    <s v="Monitor"/>
    <x v="0"/>
    <n v="5"/>
    <n v="249.99"/>
    <s v="PayPal"/>
    <s v="East"/>
    <x v="1"/>
    <d v="2022-08-09T00:00:00"/>
    <n v="1249.95"/>
    <s v="Margaret Wright"/>
    <s v="Electronics"/>
    <n v="599.96"/>
    <s v="Premium"/>
    <s v="he is anPremiumcustomer"/>
  </r>
  <r>
    <s v="TRX0098"/>
    <x v="58"/>
    <s v="CUST026"/>
    <s v="Karen Hill"/>
    <s v="P009"/>
    <s v="Monitor"/>
    <x v="0"/>
    <n v="3"/>
    <n v="249.99"/>
    <s v="PayPal"/>
    <s v="North"/>
    <x v="1"/>
    <d v="2021-09-26T00:00:00"/>
    <n v="749.97"/>
    <s v="Karen Hill"/>
    <s v="Electronics"/>
    <n v="1249.95"/>
    <s v="Premium"/>
    <s v="he is anPremiumcustomer"/>
  </r>
  <r>
    <s v="TRX0247"/>
    <x v="58"/>
    <s v="CUST046"/>
    <s v="Kathleen Bennett"/>
    <s v="P006"/>
    <s v="Office Chair"/>
    <x v="2"/>
    <n v="4"/>
    <n v="199.99"/>
    <s v="Cash"/>
    <s v="North"/>
    <x v="2"/>
    <d v="2021-09-19T00:00:00"/>
    <n v="799.96"/>
    <s v="Kathleen Bennett"/>
    <s v="Furniture"/>
    <n v="749.97"/>
    <s v="your customer is not Premium customer"/>
    <s v="he is anStandardcustomer"/>
  </r>
  <r>
    <s v="TRX0027"/>
    <x v="59"/>
    <s v="CUST028"/>
    <s v="Betty Campbell"/>
    <s v="P006"/>
    <s v="Office Chair"/>
    <x v="2"/>
    <n v="5"/>
    <n v="199.99"/>
    <s v="Cash"/>
    <s v="North"/>
    <x v="1"/>
    <d v="2023-03-06T00:00:00"/>
    <n v="999.95"/>
    <s v="Betty Campbell"/>
    <s v="Furniture"/>
    <n v="799.96"/>
    <s v="Premium"/>
    <s v="he is anPremiumcustomer"/>
  </r>
  <r>
    <s v="TRX0140"/>
    <x v="60"/>
    <s v="CUST025"/>
    <s v="Mark Carter"/>
    <s v="P010"/>
    <s v="Keyboard"/>
    <x v="0"/>
    <n v="2"/>
    <n v="89.99"/>
    <s v="Cash"/>
    <s v="East"/>
    <x v="1"/>
    <d v="2023-02-15T00:00:00"/>
    <n v="179.98"/>
    <s v="Mark Carter"/>
    <s v="Electronics"/>
    <n v="999.95"/>
    <s v="Premium"/>
    <s v="he is anPremiumcustomer"/>
  </r>
  <r>
    <s v="TRX0132"/>
    <x v="61"/>
    <s v="CUST047"/>
    <s v="Gerald Murphy"/>
    <s v="P001"/>
    <s v="Laptop"/>
    <x v="0"/>
    <n v="5"/>
    <n v="899.99"/>
    <s v="Debit Card"/>
    <s v="East"/>
    <x v="0"/>
    <d v="2021-11-26T00:00:00"/>
    <n v="4499.95"/>
    <s v="Gerald Murphy"/>
    <s v="Electronics"/>
    <n v="179.98"/>
    <s v="your customer is not Premium customer"/>
    <s v="he is an Basiccustomer"/>
  </r>
  <r>
    <s v="TRX0031"/>
    <x v="61"/>
    <s v="CUST036"/>
    <s v="Nancy Collins"/>
    <s v="P003"/>
    <s v="Headphones"/>
    <x v="0"/>
    <n v="3"/>
    <n v="149.99"/>
    <s v="PayPal"/>
    <s v="East"/>
    <x v="0"/>
    <d v="2022-01-13T00:00:00"/>
    <n v="449.97"/>
    <s v="Nancy Collins"/>
    <s v="Electronics"/>
    <n v="4499.95"/>
    <s v="your customer is not Premium customer"/>
    <s v="he is an Basiccustomer"/>
  </r>
  <r>
    <s v="TRX0236"/>
    <x v="62"/>
    <s v="CUST044"/>
    <s v="Cynthia Price"/>
    <s v="P008"/>
    <s v="Bookshelf"/>
    <x v="2"/>
    <n v="5"/>
    <n v="149.99"/>
    <s v="Credit Card"/>
    <s v="Central"/>
    <x v="0"/>
    <d v="2024-01-19T00:00:00"/>
    <n v="749.95"/>
    <s v="Cynthia Price"/>
    <s v="Furniture"/>
    <n v="449.97"/>
    <s v="your customer is not Premium customer"/>
    <s v="he is an Basiccustomer"/>
  </r>
  <r>
    <s v="TRX0001"/>
    <x v="63"/>
    <s v="CUST039"/>
    <s v="Lawrence Reed"/>
    <s v="P004"/>
    <s v="Coffee Maker"/>
    <x v="1"/>
    <n v="3"/>
    <n v="79.989999999999995"/>
    <s v="Cash"/>
    <s v="Central"/>
    <x v="1"/>
    <d v="2022-08-06T00:00:00"/>
    <n v="239.97"/>
    <s v="Lawrence Reed"/>
    <s v="Appliances"/>
    <n v="749.95"/>
    <s v="Premium"/>
    <s v="he is anPremiumcustomer"/>
  </r>
  <r>
    <s v="TRX0037"/>
    <x v="63"/>
    <s v="CUST035"/>
    <s v="Harry Morgan"/>
    <s v="P009"/>
    <s v="Monitor"/>
    <x v="0"/>
    <n v="2"/>
    <n v="249.99"/>
    <s v="Cash"/>
    <s v="South"/>
    <x v="2"/>
    <d v="2022-01-11T00:00:00"/>
    <n v="499.98"/>
    <s v="Harry Morgan"/>
    <s v="Electronics"/>
    <n v="239.97"/>
    <s v="your customer is not Premium customer"/>
    <s v="he is anStandardcustomer"/>
  </r>
  <r>
    <s v="TRX0058"/>
    <x v="64"/>
    <s v="CUST047"/>
    <s v="Gerald Murphy"/>
    <s v="P002"/>
    <s v="Smartphone"/>
    <x v="0"/>
    <n v="1"/>
    <n v="699.99"/>
    <s v="Cash"/>
    <s v="Central"/>
    <x v="1"/>
    <d v="2021-10-28T00:00:00"/>
    <n v="699.99"/>
    <s v="Gerald Murphy"/>
    <s v="Electronics"/>
    <n v="499.98"/>
    <s v="Premium"/>
    <s v="he is anPremiumcustomer"/>
  </r>
  <r>
    <s v="TRX0170"/>
    <x v="64"/>
    <s v="CUST034"/>
    <s v="Carol Evans"/>
    <s v="P003"/>
    <s v="Headphones"/>
    <x v="0"/>
    <n v="3"/>
    <n v="149.99"/>
    <s v="Cash"/>
    <s v="West"/>
    <x v="1"/>
    <d v="2023-10-13T00:00:00"/>
    <n v="449.97"/>
    <s v="Carol Evans"/>
    <s v="Electronics"/>
    <n v="699.99"/>
    <s v="Premium"/>
    <s v="he is anPremiumcustomer"/>
  </r>
  <r>
    <s v="TRX0248"/>
    <x v="65"/>
    <s v="CUST032"/>
    <s v="Sandra Phillips"/>
    <s v="P002"/>
    <s v="Smartphone"/>
    <x v="0"/>
    <n v="2"/>
    <n v="699.99"/>
    <s v="Credit Card"/>
    <s v="North"/>
    <x v="1"/>
    <d v="2021-08-13T00:00:00"/>
    <n v="1399.98"/>
    <s v="Sandra Phillips"/>
    <s v="Electronics"/>
    <n v="449.97"/>
    <s v="Premium"/>
    <s v="he is anPremiumcustomer"/>
  </r>
  <r>
    <s v="TRX0099"/>
    <x v="66"/>
    <s v="CUST034"/>
    <s v="Carol Evans"/>
    <s v="P009"/>
    <s v="Monitor"/>
    <x v="0"/>
    <n v="1"/>
    <n v="249.99"/>
    <s v="Credit Card"/>
    <s v="West"/>
    <x v="1"/>
    <d v="2022-05-04T00:00:00"/>
    <n v="249.99"/>
    <s v="Carol Evans"/>
    <s v="Electronics"/>
    <n v="1399.98"/>
    <s v="Premium"/>
    <s v="he is anPremiumcustomer"/>
  </r>
  <r>
    <s v="TRX0074"/>
    <x v="66"/>
    <s v="CUST023"/>
    <s v="Paul Baker"/>
    <s v="P009"/>
    <s v="Monitor"/>
    <x v="0"/>
    <n v="1"/>
    <n v="249.99"/>
    <s v="Debit Card"/>
    <s v="North"/>
    <x v="1"/>
    <d v="2024-02-10T00:00:00"/>
    <n v="249.99"/>
    <s v="Paul Baker"/>
    <s v="Electronics"/>
    <n v="249.99"/>
    <s v="Premium"/>
    <s v="he is anPremiumcustomer"/>
  </r>
  <r>
    <s v="TRX0225"/>
    <x v="67"/>
    <s v="CUST039"/>
    <s v="Lawrence Reed"/>
    <s v="P002"/>
    <s v="Smartphone"/>
    <x v="0"/>
    <n v="2"/>
    <n v="699.99"/>
    <s v="Debit Card"/>
    <s v="Central"/>
    <x v="1"/>
    <d v="2022-11-05T00:00:00"/>
    <n v="1399.98"/>
    <s v="Lawrence Reed"/>
    <s v="Electronics"/>
    <n v="249.99"/>
    <s v="Premium"/>
    <s v="he is anPremiumcustomer"/>
  </r>
  <r>
    <s v="TRX0100"/>
    <x v="68"/>
    <s v="CUST031"/>
    <s v="Steven Turner"/>
    <s v="P005"/>
    <s v="Blender"/>
    <x v="1"/>
    <n v="3"/>
    <n v="59.99"/>
    <s v="Credit Card"/>
    <s v="Central"/>
    <x v="1"/>
    <d v="2022-06-05T00:00:00"/>
    <n v="179.97"/>
    <s v="Steven Turner"/>
    <s v="Appliances"/>
    <n v="1399.98"/>
    <s v="Premium"/>
    <s v="he is anPremiumcustomer"/>
  </r>
  <r>
    <s v="TRX0142"/>
    <x v="69"/>
    <s v="CUST002"/>
    <s v="Emma Wilson"/>
    <s v="P005"/>
    <s v="Blender"/>
    <x v="1"/>
    <n v="3"/>
    <n v="59.99"/>
    <s v="PayPal"/>
    <s v="East"/>
    <x v="2"/>
    <d v="2022-07-06T00:00:00"/>
    <n v="179.97"/>
    <s v="Emma Wilson"/>
    <s v="Appliances"/>
    <n v="179.97"/>
    <s v="your customer is not Premium customer"/>
    <s v="he is anStandardcustomer"/>
  </r>
  <r>
    <s v="TRX0112"/>
    <x v="69"/>
    <s v="CUST008"/>
    <s v="Jennifer Taylor"/>
    <s v="P004"/>
    <s v="Coffee Maker"/>
    <x v="1"/>
    <n v="4"/>
    <n v="79.989999999999995"/>
    <s v="Cash"/>
    <s v="North"/>
    <x v="0"/>
    <d v="2021-11-30T00:00:00"/>
    <n v="319.95999999999998"/>
    <s v="Jennifer Taylor"/>
    <s v="Appliances"/>
    <n v="179.97"/>
    <s v="your customer is not Premium customer"/>
    <s v="he is an Basiccustomer"/>
  </r>
  <r>
    <s v="TRX0161"/>
    <x v="70"/>
    <s v="CUST017"/>
    <s v="Charles Allen"/>
    <s v="P004"/>
    <s v="Coffee Maker"/>
    <x v="1"/>
    <n v="1"/>
    <n v="79.989999999999995"/>
    <s v="Cash"/>
    <s v="West"/>
    <x v="0"/>
    <d v="2022-05-12T00:00:00"/>
    <n v="79.989999999999995"/>
    <s v="Charles Allen"/>
    <s v="Appliances"/>
    <n v="319.95999999999998"/>
    <s v="your customer is not Premium customer"/>
    <s v="he is an Basiccustomer"/>
  </r>
  <r>
    <s v="TRX0108"/>
    <x v="71"/>
    <s v="CUST024"/>
    <s v="Dorothy Nelson"/>
    <s v="P007"/>
    <s v="Desk"/>
    <x v="2"/>
    <n v="3"/>
    <n v="299.99"/>
    <s v="Credit Card"/>
    <s v="Central"/>
    <x v="1"/>
    <d v="2021-10-25T00:00:00"/>
    <n v="899.97"/>
    <s v="Dorothy Nelson"/>
    <s v="Furniture"/>
    <n v="79.989999999999995"/>
    <s v="Premium"/>
    <s v="he is anPremiumcustomer"/>
  </r>
  <r>
    <s v="TRX0211"/>
    <x v="72"/>
    <s v="CUST046"/>
    <s v="Kathleen Bennett"/>
    <s v="P010"/>
    <s v="Keyboard"/>
    <x v="0"/>
    <n v="2"/>
    <n v="89.99"/>
    <s v="Credit Card"/>
    <s v="South"/>
    <x v="1"/>
    <d v="2022-03-21T00:00:00"/>
    <n v="179.98"/>
    <s v="Kathleen Bennett"/>
    <s v="Electronics"/>
    <n v="899.97"/>
    <s v="Premium"/>
    <s v="he is anPremiumcustomer"/>
  </r>
  <r>
    <s v="TRX0005"/>
    <x v="73"/>
    <s v="CUST042"/>
    <s v="Ruth Brooks"/>
    <s v="P003"/>
    <s v="Headphones"/>
    <x v="0"/>
    <n v="4"/>
    <n v="149.99"/>
    <s v="Cash"/>
    <s v="North"/>
    <x v="0"/>
    <d v="2022-12-14T00:00:00"/>
    <n v="599.96"/>
    <s v="Ruth Brooks"/>
    <s v="Electronics"/>
    <n v="179.98"/>
    <s v="your customer is not Premium customer"/>
    <s v="he is an Basiccustomer"/>
  </r>
  <r>
    <s v="TRX0195"/>
    <x v="74"/>
    <s v="CUST026"/>
    <s v="Karen Hill"/>
    <s v="P009"/>
    <s v="Monitor"/>
    <x v="0"/>
    <n v="2"/>
    <n v="249.99"/>
    <s v="PayPal"/>
    <s v="South"/>
    <x v="0"/>
    <d v="2023-03-08T00:00:00"/>
    <n v="499.98"/>
    <s v="Karen Hill"/>
    <s v="Electronics"/>
    <n v="599.96"/>
    <s v="your customer is not Premium customer"/>
    <s v="he is an Basiccustomer"/>
  </r>
  <r>
    <s v="TRX0054"/>
    <x v="74"/>
    <s v="CUST004"/>
    <s v="Sarah Davis"/>
    <s v="P006"/>
    <s v="Office Chair"/>
    <x v="2"/>
    <n v="4"/>
    <n v="199.99"/>
    <s v="Debit Card"/>
    <s v="East"/>
    <x v="0"/>
    <d v="2021-09-19T00:00:00"/>
    <n v="799.96"/>
    <s v="Sarah Davis"/>
    <s v="Furniture"/>
    <n v="499.98"/>
    <s v="your customer is not Premium customer"/>
    <s v="he is an Basiccustomer"/>
  </r>
  <r>
    <s v="TRX0077"/>
    <x v="75"/>
    <s v="CUST019"/>
    <s v="Daniel King"/>
    <s v="P010"/>
    <s v="Keyboard"/>
    <x v="0"/>
    <n v="5"/>
    <n v="89.99"/>
    <s v="Credit Card"/>
    <s v="East"/>
    <x v="1"/>
    <d v="2021-09-07T00:00:00"/>
    <n v="449.95"/>
    <s v="Daniel King"/>
    <s v="Electronics"/>
    <n v="799.96"/>
    <s v="Premium"/>
    <s v="he is anPremiumcustomer"/>
  </r>
  <r>
    <s v="TRX0111"/>
    <x v="75"/>
    <s v="CUST011"/>
    <s v="William White"/>
    <s v="P003"/>
    <s v="Headphones"/>
    <x v="0"/>
    <n v="1"/>
    <n v="149.99"/>
    <s v="PayPal"/>
    <s v="East"/>
    <x v="2"/>
    <d v="2021-10-13T00:00:00"/>
    <n v="149.99"/>
    <s v="William White"/>
    <s v="Electronics"/>
    <n v="449.95"/>
    <s v="your customer is not Premium customer"/>
    <s v="he is anStandardcustomer"/>
  </r>
  <r>
    <s v="TRX0123"/>
    <x v="75"/>
    <s v="CUST041"/>
    <s v="Peter Richardson"/>
    <s v="P002"/>
    <s v="Smartphone"/>
    <x v="0"/>
    <n v="4"/>
    <n v="699.99"/>
    <s v="PayPal"/>
    <s v="South"/>
    <x v="0"/>
    <d v="2022-02-26T00:00:00"/>
    <n v="2799.96"/>
    <s v="Peter Richardson"/>
    <s v="Electronics"/>
    <n v="149.99"/>
    <s v="your customer is not Premium customer"/>
    <s v="he is an Basiccustomer"/>
  </r>
  <r>
    <s v="TRX0177"/>
    <x v="76"/>
    <s v="CUST032"/>
    <s v="Sandra Phillips"/>
    <s v="P001"/>
    <s v="Laptop"/>
    <x v="0"/>
    <n v="3"/>
    <n v="899.99"/>
    <s v="Credit Card"/>
    <s v="North"/>
    <x v="2"/>
    <d v="2023-08-19T00:00:00"/>
    <n v="2699.97"/>
    <s v="Sandra Phillips"/>
    <s v="Electronics"/>
    <n v="2799.96"/>
    <s v="your customer is not Premium customer"/>
    <s v="he is anStandardcustomer"/>
  </r>
  <r>
    <s v="TRX0119"/>
    <x v="77"/>
    <s v="CUST014"/>
    <s v="Linda Martin"/>
    <s v="P008"/>
    <s v="Bookshelf"/>
    <x v="2"/>
    <n v="3"/>
    <n v="149.99"/>
    <s v="PayPal"/>
    <s v="East"/>
    <x v="0"/>
    <d v="2022-11-21T00:00:00"/>
    <n v="449.97"/>
    <s v="Linda Martin"/>
    <s v="Furniture"/>
    <n v="2699.97"/>
    <s v="your customer is not Premium customer"/>
    <s v="he is an Basiccustomer"/>
  </r>
  <r>
    <s v="TRX0181"/>
    <x v="78"/>
    <s v="CUST012"/>
    <s v="Patricia Moore"/>
    <s v="P007"/>
    <s v="Desk"/>
    <x v="2"/>
    <n v="2"/>
    <n v="299.99"/>
    <s v="Debit Card"/>
    <s v="Central"/>
    <x v="0"/>
    <d v="2022-01-08T00:00:00"/>
    <n v="599.98"/>
    <s v="Patricia Moore"/>
    <s v="Furniture"/>
    <n v="449.97"/>
    <s v="your customer is not Premium customer"/>
    <s v="he is an Basiccustomer"/>
  </r>
  <r>
    <s v="TRX0129"/>
    <x v="79"/>
    <s v="CUST015"/>
    <s v="Richard Lee"/>
    <s v="P006"/>
    <s v="Office Chair"/>
    <x v="2"/>
    <n v="1"/>
    <n v="199.99"/>
    <s v="Debit Card"/>
    <s v="East"/>
    <x v="2"/>
    <d v="2023-01-27T00:00:00"/>
    <n v="199.99"/>
    <s v="Richard Lee"/>
    <s v="Furniture"/>
    <n v="599.98"/>
    <s v="your customer is not Premium customer"/>
    <s v="he is anStandardcustomer"/>
  </r>
  <r>
    <s v="TRX0174"/>
    <x v="80"/>
    <s v="CUST003"/>
    <s v="Michael Brown"/>
    <s v="P007"/>
    <s v="Desk"/>
    <x v="2"/>
    <n v="4"/>
    <n v="299.99"/>
    <s v="Cash"/>
    <s v="Central"/>
    <x v="1"/>
    <d v="2021-09-21T00:00:00"/>
    <n v="1199.96"/>
    <s v="Michael Brown"/>
    <s v="Furniture"/>
    <n v="199.99"/>
    <s v="Premium"/>
    <s v="he is anPremiumcustomer"/>
  </r>
  <r>
    <s v="TRX0146"/>
    <x v="81"/>
    <s v="CUST010"/>
    <s v="Maria Garcia"/>
    <s v="P005"/>
    <s v="Blender"/>
    <x v="1"/>
    <n v="2"/>
    <n v="59.99"/>
    <s v="Credit Card"/>
    <s v="Central"/>
    <x v="0"/>
    <d v="2022-01-18T00:00:00"/>
    <n v="119.98"/>
    <s v="Maria Garcia"/>
    <s v="Appliances"/>
    <n v="1199.96"/>
    <s v="your customer is not Premium customer"/>
    <s v="he is an Basiccustomer"/>
  </r>
  <r>
    <s v="TRX0203"/>
    <x v="81"/>
    <s v="CUST032"/>
    <s v="Sandra Phillips"/>
    <s v="P003"/>
    <s v="Headphones"/>
    <x v="0"/>
    <n v="4"/>
    <n v="149.99"/>
    <s v="Credit Card"/>
    <s v="North"/>
    <x v="1"/>
    <d v="2023-05-30T00:00:00"/>
    <n v="599.96"/>
    <s v="Sandra Phillips"/>
    <s v="Electronics"/>
    <n v="119.98"/>
    <s v="Premium"/>
    <s v="he is anPremiumcustomer"/>
  </r>
  <r>
    <s v="TRX0055"/>
    <x v="82"/>
    <s v="CUST016"/>
    <s v="Elizabeth Hall"/>
    <s v="P002"/>
    <s v="Smartphone"/>
    <x v="0"/>
    <n v="2"/>
    <n v="699.99"/>
    <s v="Debit Card"/>
    <s v="East"/>
    <x v="1"/>
    <d v="2023-12-14T00:00:00"/>
    <n v="1399.98"/>
    <s v="Elizabeth Hall"/>
    <s v="Electronics"/>
    <n v="599.96"/>
    <s v="Premium"/>
    <s v="he is anPremiumcustomer"/>
  </r>
  <r>
    <s v="TRX0218"/>
    <x v="82"/>
    <s v="CUST034"/>
    <s v="Carol Evans"/>
    <s v="P008"/>
    <s v="Bookshelf"/>
    <x v="2"/>
    <n v="3"/>
    <n v="149.99"/>
    <s v="Credit Card"/>
    <s v="South"/>
    <x v="2"/>
    <d v="2023-01-14T00:00:00"/>
    <n v="449.97"/>
    <s v="Carol Evans"/>
    <s v="Furniture"/>
    <n v="1399.98"/>
    <s v="your customer is not Premium customer"/>
    <s v="he is anStandardcustomer"/>
  </r>
  <r>
    <s v="TRX0085"/>
    <x v="83"/>
    <s v="CUST019"/>
    <s v="Daniel King"/>
    <s v="P007"/>
    <s v="Desk"/>
    <x v="2"/>
    <n v="3"/>
    <n v="299.99"/>
    <s v="Credit Card"/>
    <s v="Central"/>
    <x v="2"/>
    <d v="2023-09-05T00:00:00"/>
    <n v="899.97"/>
    <s v="Daniel King"/>
    <s v="Furniture"/>
    <n v="449.97"/>
    <s v="your customer is not Premium customer"/>
    <s v="he is anStandardcustomer"/>
  </r>
  <r>
    <s v="TRX0158"/>
    <x v="84"/>
    <s v="CUST027"/>
    <s v="George Adams"/>
    <s v="P001"/>
    <s v="Laptop"/>
    <x v="0"/>
    <n v="3"/>
    <n v="899.99"/>
    <s v="PayPal"/>
    <s v="West"/>
    <x v="0"/>
    <d v="2023-10-16T00:00:00"/>
    <n v="2699.97"/>
    <s v="George Adams"/>
    <s v="Electronics"/>
    <n v="899.97"/>
    <s v="your customer is not Premium customer"/>
    <s v="he is an Basiccustomer"/>
  </r>
  <r>
    <s v="TRX0173"/>
    <x v="85"/>
    <s v="CUST018"/>
    <s v="Barbara Young"/>
    <s v="P002"/>
    <s v="Smartphone"/>
    <x v="0"/>
    <n v="5"/>
    <n v="699.99"/>
    <s v="Cash"/>
    <s v="East"/>
    <x v="2"/>
    <d v="2023-03-23T00:00:00"/>
    <n v="3499.95"/>
    <s v="Barbara Young"/>
    <s v="Electronics"/>
    <n v="2699.97"/>
    <s v="your customer is not Premium customer"/>
    <s v="he is anStandardcustomer"/>
  </r>
  <r>
    <s v="TRX0034"/>
    <x v="85"/>
    <s v="CUST049"/>
    <s v="Raymond Ross"/>
    <s v="P002"/>
    <s v="Smartphone"/>
    <x v="0"/>
    <n v="4"/>
    <n v="699.99"/>
    <s v="Credit Card"/>
    <s v="Central"/>
    <x v="0"/>
    <d v="2024-04-03T00:00:00"/>
    <n v="2799.96"/>
    <s v="Raymond Ross"/>
    <s v="Electronics"/>
    <n v="3499.95"/>
    <s v="your customer is not Premium customer"/>
    <s v="he is an Basiccustomer"/>
  </r>
  <r>
    <s v="TRX0189"/>
    <x v="85"/>
    <s v="CUST040"/>
    <s v="Sharon Butler"/>
    <s v="P001"/>
    <s v="Laptop"/>
    <x v="0"/>
    <n v="1"/>
    <n v="899.99"/>
    <s v="Credit Card"/>
    <s v="East"/>
    <x v="2"/>
    <d v="2024-03-18T00:00:00"/>
    <n v="899.99"/>
    <s v="Sharon Butler"/>
    <s v="Electronics"/>
    <n v="2799.96"/>
    <s v="your customer is not Premium customer"/>
    <s v="he is anStandardcustomer"/>
  </r>
  <r>
    <s v="TRX0190"/>
    <x v="86"/>
    <s v="CUST039"/>
    <s v="Lawrence Reed"/>
    <s v="P003"/>
    <s v="Headphones"/>
    <x v="0"/>
    <n v="2"/>
    <n v="149.99"/>
    <s v="Credit Card"/>
    <s v="West"/>
    <x v="0"/>
    <d v="2022-12-21T00:00:00"/>
    <n v="299.98"/>
    <s v="Lawrence Reed"/>
    <s v="Electronics"/>
    <n v="899.99"/>
    <s v="your customer is not Premium customer"/>
    <s v="he is an Basiccustomer"/>
  </r>
  <r>
    <s v="TRX0079"/>
    <x v="87"/>
    <s v="CUST039"/>
    <s v="Lawrence Reed"/>
    <s v="P010"/>
    <s v="Keyboard"/>
    <x v="0"/>
    <n v="3"/>
    <n v="89.99"/>
    <s v="PayPal"/>
    <s v="Central"/>
    <x v="0"/>
    <d v="2021-12-21T00:00:00"/>
    <n v="269.97000000000003"/>
    <s v="Lawrence Reed"/>
    <s v="Electronics"/>
    <n v="299.98"/>
    <s v="your customer is not Premium customer"/>
    <s v="he is an Basiccustomer"/>
  </r>
  <r>
    <s v="TRX0095"/>
    <x v="88"/>
    <s v="CUST046"/>
    <s v="Kathleen Bennett"/>
    <s v="P003"/>
    <s v="Headphones"/>
    <x v="0"/>
    <n v="2"/>
    <n v="149.99"/>
    <s v="PayPal"/>
    <s v="Central"/>
    <x v="0"/>
    <d v="2021-10-04T00:00:00"/>
    <n v="299.98"/>
    <s v="Kathleen Bennett"/>
    <s v="Electronics"/>
    <n v="269.97000000000003"/>
    <s v="your customer is not Premium customer"/>
    <s v="he is an Basiccustomer"/>
  </r>
  <r>
    <s v="TRX0009"/>
    <x v="88"/>
    <s v="CUST004"/>
    <s v="Sarah Davis"/>
    <s v="P002"/>
    <s v="Smartphone"/>
    <x v="0"/>
    <n v="2"/>
    <n v="699.99"/>
    <s v="Cash"/>
    <s v="Central"/>
    <x v="0"/>
    <d v="2023-03-07T00:00:00"/>
    <n v="1399.98"/>
    <s v="Sarah Davis"/>
    <s v="Electronics"/>
    <n v="299.98"/>
    <s v="your customer is not Premium customer"/>
    <s v="he is an Basiccustomer"/>
  </r>
  <r>
    <s v="TRX0167"/>
    <x v="89"/>
    <s v="CUST028"/>
    <s v="Betty Campbell"/>
    <s v="P002"/>
    <s v="Smartphone"/>
    <x v="0"/>
    <n v="5"/>
    <n v="699.99"/>
    <s v="Cash"/>
    <s v="North"/>
    <x v="1"/>
    <d v="2022-03-15T00:00:00"/>
    <n v="3499.95"/>
    <s v="Betty Campbell"/>
    <s v="Electronics"/>
    <n v="1399.98"/>
    <s v="Premium"/>
    <s v="he is anPremiumcustomer"/>
  </r>
  <r>
    <s v="TRX0153"/>
    <x v="90"/>
    <s v="CUST049"/>
    <s v="Raymond Ross"/>
    <s v="P010"/>
    <s v="Keyboard"/>
    <x v="0"/>
    <n v="3"/>
    <n v="89.99"/>
    <s v="Credit Card"/>
    <s v="North"/>
    <x v="2"/>
    <d v="2022-02-23T00:00:00"/>
    <n v="269.97000000000003"/>
    <s v="Raymond Ross"/>
    <s v="Electronics"/>
    <n v="3499.95"/>
    <s v="your customer is not Premium customer"/>
    <s v="he is anStandardcustomer"/>
  </r>
  <r>
    <s v="TRX0057"/>
    <x v="91"/>
    <s v="CUST023"/>
    <s v="Paul Baker"/>
    <s v="P009"/>
    <s v="Monitor"/>
    <x v="0"/>
    <n v="5"/>
    <n v="249.99"/>
    <s v="Credit Card"/>
    <s v="South"/>
    <x v="2"/>
    <d v="2022-11-16T00:00:00"/>
    <n v="1249.95"/>
    <s v="Paul Baker"/>
    <s v="Electronics"/>
    <n v="269.97000000000003"/>
    <s v="your customer is not Premium customer"/>
    <s v="he is anStandardcustomer"/>
  </r>
  <r>
    <s v="TRX0017"/>
    <x v="92"/>
    <s v="CUST026"/>
    <s v="Karen Hill"/>
    <s v="P007"/>
    <s v="Desk"/>
    <x v="2"/>
    <n v="3"/>
    <n v="299.99"/>
    <s v="Credit Card"/>
    <s v="South"/>
    <x v="2"/>
    <d v="2021-11-02T00:00:00"/>
    <n v="899.97"/>
    <s v="Karen Hill"/>
    <s v="Furniture"/>
    <n v="1249.95"/>
    <s v="your customer is not Premium customer"/>
    <s v="he is anStandardcustomer"/>
  </r>
  <r>
    <s v="TRX0060"/>
    <x v="93"/>
    <s v="CUST012"/>
    <s v="Patricia Moore"/>
    <s v="P010"/>
    <s v="Keyboard"/>
    <x v="0"/>
    <n v="3"/>
    <n v="89.99"/>
    <s v="Credit Card"/>
    <s v="North"/>
    <x v="1"/>
    <d v="2021-08-12T00:00:00"/>
    <n v="269.97000000000003"/>
    <s v="Patricia Moore"/>
    <s v="Electronics"/>
    <n v="899.97"/>
    <s v="Premium"/>
    <s v="he is anPremiumcustomer"/>
  </r>
  <r>
    <s v="TRX0109"/>
    <x v="94"/>
    <s v="CUST010"/>
    <s v="Maria Garcia"/>
    <s v="P008"/>
    <s v="Bookshelf"/>
    <x v="2"/>
    <n v="2"/>
    <n v="149.99"/>
    <s v="Credit Card"/>
    <s v="West"/>
    <x v="1"/>
    <d v="2022-10-14T00:00:00"/>
    <n v="299.98"/>
    <s v="Maria Garcia"/>
    <s v="Furniture"/>
    <n v="269.97000000000003"/>
    <s v="Premium"/>
    <s v="he is anPremiumcustomer"/>
  </r>
  <r>
    <s v="TRX0090"/>
    <x v="95"/>
    <s v="CUST020"/>
    <s v="Margaret Wright"/>
    <s v="P009"/>
    <s v="Monitor"/>
    <x v="0"/>
    <n v="1"/>
    <n v="249.99"/>
    <s v="Credit Card"/>
    <s v="North"/>
    <x v="1"/>
    <d v="2022-09-24T00:00:00"/>
    <n v="249.99"/>
    <s v="Margaret Wright"/>
    <s v="Electronics"/>
    <n v="299.98"/>
    <s v="Premium"/>
    <s v="he is anPremiumcustomer"/>
  </r>
  <r>
    <s v="TRX0035"/>
    <x v="96"/>
    <s v="CUST041"/>
    <s v="Peter Richardson"/>
    <s v="P003"/>
    <s v="Headphones"/>
    <x v="0"/>
    <n v="3"/>
    <n v="149.99"/>
    <s v="Cash"/>
    <s v="North"/>
    <x v="0"/>
    <d v="2022-07-27T00:00:00"/>
    <n v="449.97"/>
    <s v="Peter Richardson"/>
    <s v="Electronics"/>
    <n v="249.99"/>
    <s v="your customer is not Premium customer"/>
    <s v="he is an Basiccustomer"/>
  </r>
  <r>
    <s v="TRX0172"/>
    <x v="96"/>
    <s v="CUST023"/>
    <s v="Paul Baker"/>
    <s v="P005"/>
    <s v="Blender"/>
    <x v="1"/>
    <n v="5"/>
    <n v="59.99"/>
    <s v="PayPal"/>
    <s v="West"/>
    <x v="1"/>
    <d v="2022-05-13T00:00:00"/>
    <n v="299.95"/>
    <s v="Paul Baker"/>
    <s v="Appliances"/>
    <n v="449.97"/>
    <s v="Premium"/>
    <s v="he is anPremiumcustomer"/>
  </r>
  <r>
    <s v="TRX0076"/>
    <x v="96"/>
    <s v="CUST012"/>
    <s v="Patricia Moore"/>
    <s v="P009"/>
    <s v="Monitor"/>
    <x v="0"/>
    <n v="4"/>
    <n v="249.99"/>
    <s v="Credit Card"/>
    <s v="West"/>
    <x v="2"/>
    <d v="2022-04-08T00:00:00"/>
    <n v="999.96"/>
    <s v="Patricia Moore"/>
    <s v="Electronics"/>
    <n v="299.95"/>
    <s v="your customer is not Premium customer"/>
    <s v="he is anStandardcustomer"/>
  </r>
  <r>
    <s v="TRX0210"/>
    <x v="97"/>
    <s v="CUST004"/>
    <s v="Sarah Davis"/>
    <s v="P008"/>
    <s v="Bookshelf"/>
    <x v="2"/>
    <n v="5"/>
    <n v="149.99"/>
    <s v="PayPal"/>
    <s v="Central"/>
    <x v="0"/>
    <d v="2022-12-06T00:00:00"/>
    <n v="749.95"/>
    <s v="Sarah Davis"/>
    <s v="Furniture"/>
    <n v="999.96"/>
    <s v="your customer is not Premium customer"/>
    <s v="he is an Basiccustomer"/>
  </r>
  <r>
    <s v="TRX0149"/>
    <x v="97"/>
    <s v="CUST027"/>
    <s v="George Adams"/>
    <s v="P005"/>
    <s v="Blender"/>
    <x v="1"/>
    <n v="3"/>
    <n v="59.99"/>
    <s v="Debit Card"/>
    <s v="South"/>
    <x v="2"/>
    <d v="2023-11-30T00:00:00"/>
    <n v="179.97"/>
    <s v="George Adams"/>
    <s v="Appliances"/>
    <n v="749.95"/>
    <s v="your customer is not Premium customer"/>
    <s v="he is anStandardcustomer"/>
  </r>
  <r>
    <s v="TRX0073"/>
    <x v="98"/>
    <s v="CUST032"/>
    <s v="Sandra Phillips"/>
    <s v="P008"/>
    <s v="Bookshelf"/>
    <x v="2"/>
    <n v="5"/>
    <n v="149.99"/>
    <s v="Cash"/>
    <s v="North"/>
    <x v="0"/>
    <d v="2022-11-04T00:00:00"/>
    <n v="749.95"/>
    <s v="Sandra Phillips"/>
    <s v="Furniture"/>
    <n v="179.97"/>
    <s v="your customer is not Premium customer"/>
    <s v="he is an Basiccustomer"/>
  </r>
  <r>
    <s v="TRX0033"/>
    <x v="98"/>
    <s v="CUST025"/>
    <s v="Mark Carter"/>
    <s v="P002"/>
    <s v="Smartphone"/>
    <x v="0"/>
    <n v="2"/>
    <n v="699.99"/>
    <s v="PayPal"/>
    <s v="West"/>
    <x v="2"/>
    <d v="2022-07-28T00:00:00"/>
    <n v="1399.98"/>
    <s v="Mark Carter"/>
    <s v="Electronics"/>
    <n v="749.95"/>
    <s v="your customer is not Premium customer"/>
    <s v="he is anStandardcustomer"/>
  </r>
  <r>
    <s v="TRX0160"/>
    <x v="99"/>
    <s v="CUST029"/>
    <s v="Edward Mitchell"/>
    <s v="P006"/>
    <s v="Office Chair"/>
    <x v="2"/>
    <n v="4"/>
    <n v="199.99"/>
    <s v="Debit Card"/>
    <s v="Central"/>
    <x v="1"/>
    <d v="2021-08-19T00:00:00"/>
    <n v="799.96"/>
    <s v="Edward Mitchell"/>
    <s v="Furniture"/>
    <n v="1399.98"/>
    <s v="Premium"/>
    <s v="he is anPremiumcustomer"/>
  </r>
  <r>
    <s v="TRX0145"/>
    <x v="100"/>
    <s v="CUST033"/>
    <s v="Frank Torres"/>
    <s v="P005"/>
    <s v="Blender"/>
    <x v="1"/>
    <n v="1"/>
    <n v="59.99"/>
    <s v="Debit Card"/>
    <s v="West"/>
    <x v="2"/>
    <d v="2021-12-30T00:00:00"/>
    <n v="59.99"/>
    <s v="Frank Torres"/>
    <s v="Appliances"/>
    <n v="799.96"/>
    <s v="your customer is not Premium customer"/>
    <s v="he is anStandardcustomer"/>
  </r>
  <r>
    <s v="TRX0148"/>
    <x v="100"/>
    <s v="CUST004"/>
    <s v="Sarah Davis"/>
    <s v="P002"/>
    <s v="Smartphone"/>
    <x v="0"/>
    <n v="3"/>
    <n v="699.99"/>
    <s v="PayPal"/>
    <s v="West"/>
    <x v="2"/>
    <d v="2022-01-22T00:00:00"/>
    <n v="2099.9699999999998"/>
    <s v="Sarah Davis"/>
    <s v="Electronics"/>
    <n v="59.99"/>
    <s v="your customer is not Premium customer"/>
    <s v="he is anStandardcustomer"/>
  </r>
  <r>
    <s v="TRX0012"/>
    <x v="101"/>
    <s v="CUST045"/>
    <s v="Douglas Watson"/>
    <s v="P009"/>
    <s v="Monitor"/>
    <x v="0"/>
    <n v="5"/>
    <n v="249.99"/>
    <s v="Credit Card"/>
    <s v="North"/>
    <x v="0"/>
    <d v="2022-11-08T00:00:00"/>
    <n v="1249.95"/>
    <s v="Douglas Watson"/>
    <s v="Electronics"/>
    <n v="2099.9699999999998"/>
    <s v="your customer is not Premium customer"/>
    <s v="he is an Basiccustomer"/>
  </r>
  <r>
    <s v="TRX0206"/>
    <x v="102"/>
    <s v="CUST014"/>
    <s v="Linda Martin"/>
    <s v="P008"/>
    <s v="Bookshelf"/>
    <x v="2"/>
    <n v="2"/>
    <n v="149.99"/>
    <s v="Cash"/>
    <s v="South"/>
    <x v="2"/>
    <d v="2023-06-24T00:00:00"/>
    <n v="299.98"/>
    <s v="Linda Martin"/>
    <s v="Furniture"/>
    <n v="1249.95"/>
    <s v="your customer is not Premium customer"/>
    <s v="he is anStandardcustomer"/>
  </r>
  <r>
    <s v="TRX0045"/>
    <x v="103"/>
    <s v="CUST021"/>
    <s v="Kevin Scott"/>
    <s v="P007"/>
    <s v="Desk"/>
    <x v="2"/>
    <n v="3"/>
    <n v="299.99"/>
    <s v="Cash"/>
    <s v="South"/>
    <x v="1"/>
    <d v="2022-04-08T00:00:00"/>
    <n v="899.97"/>
    <s v="Kevin Scott"/>
    <s v="Furniture"/>
    <n v="299.98"/>
    <s v="Premium"/>
    <s v="he is anPremiumcustomer"/>
  </r>
  <r>
    <s v="TRX0094"/>
    <x v="103"/>
    <s v="CUST017"/>
    <s v="Charles Allen"/>
    <s v="P009"/>
    <s v="Monitor"/>
    <x v="0"/>
    <n v="5"/>
    <n v="249.99"/>
    <s v="Cash"/>
    <s v="Central"/>
    <x v="1"/>
    <d v="2021-10-16T00:00:00"/>
    <n v="1249.95"/>
    <s v="Charles Allen"/>
    <s v="Electronics"/>
    <n v="899.97"/>
    <s v="Premium"/>
    <s v="he is anPremiumcustomer"/>
  </r>
  <r>
    <s v="TRX0133"/>
    <x v="103"/>
    <s v="CUST013"/>
    <s v="Joseph Jackson"/>
    <s v="P003"/>
    <s v="Headphones"/>
    <x v="0"/>
    <n v="2"/>
    <n v="149.99"/>
    <s v="Cash"/>
    <s v="South"/>
    <x v="1"/>
    <d v="2021-10-06T00:00:00"/>
    <n v="299.98"/>
    <s v="Joseph Jackson"/>
    <s v="Electronics"/>
    <n v="1249.95"/>
    <s v="Premium"/>
    <s v="he is anPremiumcustomer"/>
  </r>
  <r>
    <s v="TRX0201"/>
    <x v="103"/>
    <s v="CUST025"/>
    <s v="Mark Carter"/>
    <s v="P002"/>
    <s v="Smartphone"/>
    <x v="0"/>
    <n v="5"/>
    <n v="699.99"/>
    <s v="Debit Card"/>
    <s v="West"/>
    <x v="2"/>
    <d v="2023-01-18T00:00:00"/>
    <n v="3499.95"/>
    <s v="Mark Carter"/>
    <s v="Electronics"/>
    <n v="299.98"/>
    <s v="your customer is not Premium customer"/>
    <s v="he is anStandardcustomer"/>
  </r>
  <r>
    <s v="TRX0137"/>
    <x v="104"/>
    <s v="CUST011"/>
    <s v="William White"/>
    <s v="P009"/>
    <s v="Monitor"/>
    <x v="0"/>
    <n v="4"/>
    <n v="249.99"/>
    <s v="PayPal"/>
    <s v="East"/>
    <x v="1"/>
    <d v="2023-06-21T00:00:00"/>
    <n v="999.96"/>
    <s v="William White"/>
    <s v="Electronics"/>
    <n v="3499.95"/>
    <s v="Premium"/>
    <s v="he is anPremiumcustomer"/>
  </r>
  <r>
    <s v="TRX0066"/>
    <x v="105"/>
    <s v="CUST024"/>
    <s v="Dorothy Nelson"/>
    <s v="P002"/>
    <s v="Smartphone"/>
    <x v="0"/>
    <n v="4"/>
    <n v="699.99"/>
    <s v="Credit Card"/>
    <s v="North"/>
    <x v="1"/>
    <d v="2022-05-22T00:00:00"/>
    <n v="2799.96"/>
    <s v="Dorothy Nelson"/>
    <s v="Electronics"/>
    <n v="999.96"/>
    <s v="Premium"/>
    <s v="he is anPremiumcustomer"/>
  </r>
  <r>
    <s v="TRX0180"/>
    <x v="106"/>
    <s v="CUST036"/>
    <s v="Nancy Collins"/>
    <s v="P009"/>
    <s v="Monitor"/>
    <x v="0"/>
    <n v="2"/>
    <n v="249.99"/>
    <s v="Credit Card"/>
    <s v="Central"/>
    <x v="1"/>
    <d v="2021-07-19T00:00:00"/>
    <n v="499.98"/>
    <s v="Nancy Collins"/>
    <s v="Electronics"/>
    <n v="2799.96"/>
    <s v="Premium"/>
    <s v="he is anPremiumcustomer"/>
  </r>
  <r>
    <s v="TRX0082"/>
    <x v="106"/>
    <s v="CUST005"/>
    <s v="James Johnson"/>
    <s v="P005"/>
    <s v="Blender"/>
    <x v="1"/>
    <n v="3"/>
    <n v="59.99"/>
    <s v="Cash"/>
    <s v="Central"/>
    <x v="1"/>
    <d v="2023-05-06T00:00:00"/>
    <n v="179.97"/>
    <s v="James Johnson"/>
    <s v="Appliances"/>
    <n v="499.98"/>
    <s v="Premium"/>
    <s v="he is anPremiumcustomer"/>
  </r>
  <r>
    <s v="TRX0036"/>
    <x v="106"/>
    <s v="CUST008"/>
    <s v="Jennifer Taylor"/>
    <s v="P004"/>
    <s v="Coffee Maker"/>
    <x v="1"/>
    <n v="4"/>
    <n v="79.989999999999995"/>
    <s v="Debit Card"/>
    <s v="East"/>
    <x v="2"/>
    <d v="2022-12-26T00:00:00"/>
    <n v="319.95999999999998"/>
    <s v="Jennifer Taylor"/>
    <s v="Appliances"/>
    <n v="179.97"/>
    <s v="your customer is not Premium customer"/>
    <s v="he is anStandardcustomer"/>
  </r>
  <r>
    <s v="TRX0198"/>
    <x v="107"/>
    <s v="CUST030"/>
    <s v="Helen Roberts"/>
    <s v="P004"/>
    <s v="Coffee Maker"/>
    <x v="1"/>
    <n v="3"/>
    <n v="79.989999999999995"/>
    <s v="Debit Card"/>
    <s v="East"/>
    <x v="2"/>
    <d v="2022-08-06T00:00:00"/>
    <n v="239.97"/>
    <s v="Helen Roberts"/>
    <s v="Appliances"/>
    <n v="319.95999999999998"/>
    <s v="your customer is not Premium customer"/>
    <s v="he is anStandardcustomer"/>
  </r>
  <r>
    <s v="TRX0032"/>
    <x v="108"/>
    <s v="CUST041"/>
    <s v="Peter Richardson"/>
    <s v="P001"/>
    <s v="Laptop"/>
    <x v="0"/>
    <n v="2"/>
    <n v="899.99"/>
    <s v="Cash"/>
    <s v="North"/>
    <x v="0"/>
    <d v="2021-07-29T00:00:00"/>
    <n v="1799.98"/>
    <s v="Peter Richardson"/>
    <s v="Electronics"/>
    <n v="239.97"/>
    <s v="your customer is not Premium customer"/>
    <s v="he is an Basiccustomer"/>
  </r>
  <r>
    <s v="TRX0081"/>
    <x v="109"/>
    <s v="CUST007"/>
    <s v="David Martinez"/>
    <s v="P008"/>
    <s v="Bookshelf"/>
    <x v="2"/>
    <n v="1"/>
    <n v="149.99"/>
    <s v="Debit Card"/>
    <s v="East"/>
    <x v="2"/>
    <d v="2023-10-01T00:00:00"/>
    <n v="149.99"/>
    <s v="David Martinez"/>
    <s v="Furniture"/>
    <n v="1799.98"/>
    <s v="your customer is not Premium customer"/>
    <s v="he is anStandardcustomer"/>
  </r>
  <r>
    <s v="TRX0224"/>
    <x v="109"/>
    <s v="CUST031"/>
    <s v="Steven Turner"/>
    <s v="P007"/>
    <s v="Desk"/>
    <x v="2"/>
    <n v="2"/>
    <n v="299.99"/>
    <s v="Cash"/>
    <s v="East"/>
    <x v="1"/>
    <d v="2022-06-12T00:00:00"/>
    <n v="599.98"/>
    <s v="Steven Turner"/>
    <s v="Furniture"/>
    <n v="149.99"/>
    <s v="Premium"/>
    <s v="he is anPremiumcustomer"/>
  </r>
  <r>
    <s v="TRX0028"/>
    <x v="110"/>
    <s v="CUST002"/>
    <s v="Emma Wilson"/>
    <s v="P005"/>
    <s v="Blender"/>
    <x v="1"/>
    <n v="2"/>
    <n v="59.99"/>
    <s v="Cash"/>
    <s v="West"/>
    <x v="0"/>
    <d v="2023-09-22T00:00:00"/>
    <n v="119.98"/>
    <s v="Emma Wilson"/>
    <s v="Appliances"/>
    <n v="599.98"/>
    <s v="your customer is not Premium customer"/>
    <s v="he is an Basiccustomer"/>
  </r>
  <r>
    <s v="TRX0183"/>
    <x v="111"/>
    <s v="CUST007"/>
    <s v="David Martinez"/>
    <s v="P010"/>
    <s v="Keyboard"/>
    <x v="0"/>
    <n v="1"/>
    <n v="89.99"/>
    <s v="Debit Card"/>
    <s v="Central"/>
    <x v="2"/>
    <d v="2022-07-18T00:00:00"/>
    <n v="89.99"/>
    <s v="David Martinez"/>
    <s v="Electronics"/>
    <n v="119.98"/>
    <s v="your customer is not Premium customer"/>
    <s v="he is anStandardcustomer"/>
  </r>
  <r>
    <s v="TRX0163"/>
    <x v="111"/>
    <s v="CUST019"/>
    <s v="Daniel King"/>
    <s v="P001"/>
    <s v="Laptop"/>
    <x v="0"/>
    <n v="5"/>
    <n v="899.99"/>
    <s v="Debit Card"/>
    <s v="East"/>
    <x v="2"/>
    <d v="2022-03-05T00:00:00"/>
    <n v="4499.95"/>
    <s v="Daniel King"/>
    <s v="Electronics"/>
    <n v="89.99"/>
    <s v="your customer is not Premium customer"/>
    <s v="he is anStandardcustomer"/>
  </r>
  <r>
    <s v="TRX0046"/>
    <x v="112"/>
    <s v="CUST003"/>
    <s v="Michael Brown"/>
    <s v="P008"/>
    <s v="Bookshelf"/>
    <x v="2"/>
    <n v="2"/>
    <n v="149.99"/>
    <s v="Cash"/>
    <s v="South"/>
    <x v="0"/>
    <d v="2023-11-09T00:00:00"/>
    <n v="299.98"/>
    <s v="Michael Brown"/>
    <s v="Furniture"/>
    <n v="4499.95"/>
    <s v="your customer is not Premium customer"/>
    <s v="he is an Basiccustomer"/>
  </r>
  <r>
    <s v="TRX0164"/>
    <x v="113"/>
    <s v="CUST014"/>
    <s v="Linda Martin"/>
    <s v="P003"/>
    <s v="Headphones"/>
    <x v="0"/>
    <n v="2"/>
    <n v="149.99"/>
    <s v="Debit Card"/>
    <s v="West"/>
    <x v="1"/>
    <d v="2023-12-20T00:00:00"/>
    <n v="299.98"/>
    <s v="Linda Martin"/>
    <s v="Electronics"/>
    <n v="299.98"/>
    <s v="Premium"/>
    <s v="he is anPremiumcustomer"/>
  </r>
  <r>
    <s v="TRX0008"/>
    <x v="113"/>
    <s v="CUST007"/>
    <s v="David Martinez"/>
    <s v="P008"/>
    <s v="Bookshelf"/>
    <x v="2"/>
    <n v="3"/>
    <n v="149.99"/>
    <s v="Debit Card"/>
    <s v="North"/>
    <x v="2"/>
    <d v="2021-11-22T00:00:00"/>
    <n v="449.97"/>
    <s v="David Martinez"/>
    <s v="Furniture"/>
    <n v="299.98"/>
    <s v="your customer is not Premium customer"/>
    <s v="he is anStandardcustomer"/>
  </r>
  <r>
    <s v="TRX0171"/>
    <x v="114"/>
    <s v="CUST021"/>
    <s v="Kevin Scott"/>
    <s v="P007"/>
    <s v="Desk"/>
    <x v="2"/>
    <n v="2"/>
    <n v="299.99"/>
    <s v="PayPal"/>
    <s v="South"/>
    <x v="0"/>
    <d v="2022-06-09T00:00:00"/>
    <n v="599.98"/>
    <s v="Kevin Scott"/>
    <s v="Furniture"/>
    <n v="449.97"/>
    <s v="your customer is not Premium customer"/>
    <s v="he is an Basiccustomer"/>
  </r>
  <r>
    <s v="TRX0143"/>
    <x v="115"/>
    <s v="CUST003"/>
    <s v="Michael Brown"/>
    <s v="P007"/>
    <s v="Desk"/>
    <x v="2"/>
    <n v="2"/>
    <n v="299.99"/>
    <s v="Cash"/>
    <s v="West"/>
    <x v="0"/>
    <d v="2022-07-29T00:00:00"/>
    <n v="599.98"/>
    <s v="Michael Brown"/>
    <s v="Furniture"/>
    <n v="599.98"/>
    <s v="your customer is not Premium customer"/>
    <s v="he is an Basiccustomer"/>
  </r>
  <r>
    <s v="TRX0165"/>
    <x v="115"/>
    <s v="CUST030"/>
    <s v="Helen Roberts"/>
    <s v="P006"/>
    <s v="Office Chair"/>
    <x v="2"/>
    <n v="4"/>
    <n v="199.99"/>
    <s v="Credit Card"/>
    <s v="Central"/>
    <x v="0"/>
    <d v="2021-11-23T00:00:00"/>
    <n v="799.96"/>
    <s v="Helen Roberts"/>
    <s v="Furniture"/>
    <n v="599.98"/>
    <s v="your customer is not Premium customer"/>
    <s v="he is an Basiccustomer"/>
  </r>
  <r>
    <s v="TRX0156"/>
    <x v="116"/>
    <s v="CUST009"/>
    <s v="Robert Thomas"/>
    <s v="P010"/>
    <s v="Keyboard"/>
    <x v="0"/>
    <n v="1"/>
    <n v="89.99"/>
    <s v="Credit Card"/>
    <s v="South"/>
    <x v="1"/>
    <d v="2022-01-30T00:00:00"/>
    <n v="89.99"/>
    <s v="Robert Thomas"/>
    <s v="Electronics"/>
    <n v="799.96"/>
    <s v="Premium"/>
    <s v="he is anPremiumcustomer"/>
  </r>
  <r>
    <s v="TRX0147"/>
    <x v="116"/>
    <s v="CUST036"/>
    <s v="Nancy Collins"/>
    <s v="P008"/>
    <s v="Bookshelf"/>
    <x v="2"/>
    <n v="5"/>
    <n v="149.99"/>
    <s v="Cash"/>
    <s v="Central"/>
    <x v="1"/>
    <d v="2024-02-25T00:00:00"/>
    <n v="749.95"/>
    <s v="Nancy Collins"/>
    <s v="Furniture"/>
    <n v="89.99"/>
    <s v="Premium"/>
    <s v="he is anPremiumcustomer"/>
  </r>
  <r>
    <s v="TRX0207"/>
    <x v="117"/>
    <s v="CUST025"/>
    <s v="Mark Carter"/>
    <s v="P001"/>
    <s v="Laptop"/>
    <x v="0"/>
    <n v="1"/>
    <n v="899.99"/>
    <s v="PayPal"/>
    <s v="North"/>
    <x v="1"/>
    <d v="2023-05-04T00:00:00"/>
    <n v="899.99"/>
    <s v="Mark Carter"/>
    <s v="Electronics"/>
    <n v="749.95"/>
    <s v="Premium"/>
    <s v="he is anPremiumcustomer"/>
  </r>
  <r>
    <s v="TRX0056"/>
    <x v="118"/>
    <s v="CUST019"/>
    <s v="Daniel King"/>
    <s v="P010"/>
    <s v="Keyboard"/>
    <x v="0"/>
    <n v="2"/>
    <n v="89.99"/>
    <s v="Credit Card"/>
    <s v="South"/>
    <x v="1"/>
    <d v="2022-01-03T00:00:00"/>
    <n v="179.98"/>
    <s v="Daniel King"/>
    <s v="Electronics"/>
    <n v="899.99"/>
    <s v="Premium"/>
    <s v="he is anPremiumcustomer"/>
  </r>
  <r>
    <s v="TRX0026"/>
    <x v="119"/>
    <s v="CUST037"/>
    <s v="Arthur Edwards"/>
    <s v="P001"/>
    <s v="Laptop"/>
    <x v="0"/>
    <n v="1"/>
    <n v="899.99"/>
    <s v="PayPal"/>
    <s v="North"/>
    <x v="2"/>
    <d v="2022-07-10T00:00:00"/>
    <n v="899.99"/>
    <s v="Arthur Edwards"/>
    <s v="Electronics"/>
    <n v="179.98"/>
    <s v="your customer is not Premium customer"/>
    <s v="he is anStandardcustomer"/>
  </r>
  <r>
    <s v="TRX0237"/>
    <x v="120"/>
    <s v="CUST006"/>
    <s v="Lisa Anderson"/>
    <s v="P003"/>
    <s v="Headphones"/>
    <x v="0"/>
    <n v="5"/>
    <n v="149.99"/>
    <s v="PayPal"/>
    <s v="East"/>
    <x v="1"/>
    <d v="2022-09-20T00:00:00"/>
    <n v="749.95"/>
    <s v="Lisa Anderson"/>
    <s v="Electronics"/>
    <n v="899.99"/>
    <s v="Premium"/>
    <s v="he is anPremiumcustomer"/>
  </r>
  <r>
    <s v="TRX0091"/>
    <x v="120"/>
    <s v="CUST003"/>
    <s v="Michael Brown"/>
    <s v="P007"/>
    <s v="Desk"/>
    <x v="2"/>
    <n v="3"/>
    <n v="299.99"/>
    <s v="Cash"/>
    <s v="South"/>
    <x v="2"/>
    <d v="2021-08-14T00:00:00"/>
    <n v="899.97"/>
    <s v="Michael Brown"/>
    <s v="Furniture"/>
    <n v="749.95"/>
    <s v="your customer is not Premium customer"/>
    <s v="he is anStandardcustomer"/>
  </r>
  <r>
    <s v="TRX0125"/>
    <x v="121"/>
    <s v="CUST026"/>
    <s v="Karen Hill"/>
    <s v="P002"/>
    <s v="Smartphone"/>
    <x v="0"/>
    <n v="3"/>
    <n v="699.99"/>
    <s v="Credit Card"/>
    <s v="Central"/>
    <x v="1"/>
    <d v="2023-06-28T00:00:00"/>
    <n v="2099.9699999999998"/>
    <s v="Karen Hill"/>
    <s v="Electronics"/>
    <n v="899.97"/>
    <s v="Premium"/>
    <s v="he is anPremiumcustomer"/>
  </r>
  <r>
    <s v="TRX0223"/>
    <x v="122"/>
    <s v="CUST036"/>
    <s v="Nancy Collins"/>
    <s v="P006"/>
    <s v="Office Chair"/>
    <x v="2"/>
    <n v="5"/>
    <n v="199.99"/>
    <s v="PayPal"/>
    <s v="Central"/>
    <x v="2"/>
    <d v="2022-03-13T00:00:00"/>
    <n v="999.95"/>
    <s v="Nancy Collins"/>
    <s v="Furniture"/>
    <n v="2099.9699999999998"/>
    <s v="your customer is not Premium customer"/>
    <s v="he is anStandardcustomer"/>
  </r>
  <r>
    <s v="TRX0243"/>
    <x v="122"/>
    <s v="CUST048"/>
    <s v="Virginia Sanders"/>
    <s v="P009"/>
    <s v="Monitor"/>
    <x v="0"/>
    <n v="5"/>
    <n v="249.99"/>
    <s v="Credit Card"/>
    <s v="South"/>
    <x v="0"/>
    <d v="2024-02-08T00:00:00"/>
    <n v="1249.95"/>
    <s v="Virginia Sanders"/>
    <s v="Electronics"/>
    <n v="999.95"/>
    <s v="your customer is not Premium customer"/>
    <s v="he is an Basiccustomer"/>
  </r>
  <r>
    <s v="TRX0084"/>
    <x v="123"/>
    <s v="CUST031"/>
    <s v="Steven Turner"/>
    <s v="P003"/>
    <s v="Headphones"/>
    <x v="0"/>
    <n v="4"/>
    <n v="149.99"/>
    <s v="Debit Card"/>
    <s v="East"/>
    <x v="2"/>
    <d v="2021-12-06T00:00:00"/>
    <n v="599.96"/>
    <s v="Steven Turner"/>
    <s v="Electronics"/>
    <n v="1249.95"/>
    <s v="your customer is not Premium customer"/>
    <s v="he is anStandardcustomer"/>
  </r>
  <r>
    <s v="TRX0238"/>
    <x v="123"/>
    <s v="CUST038"/>
    <s v="Michelle Rogers"/>
    <s v="P002"/>
    <s v="Smartphone"/>
    <x v="0"/>
    <n v="3"/>
    <n v="699.99"/>
    <s v="Cash"/>
    <s v="North"/>
    <x v="1"/>
    <d v="2022-02-10T00:00:00"/>
    <n v="2099.9699999999998"/>
    <s v="Michelle Rogers"/>
    <s v="Electronics"/>
    <n v="599.96"/>
    <s v="Premium"/>
    <s v="he is anPremiumcustomer"/>
  </r>
  <r>
    <s v="TRX0102"/>
    <x v="124"/>
    <s v="CUST045"/>
    <s v="Douglas Watson"/>
    <s v="P004"/>
    <s v="Coffee Maker"/>
    <x v="1"/>
    <n v="1"/>
    <n v="79.989999999999995"/>
    <s v="Credit Card"/>
    <s v="South"/>
    <x v="0"/>
    <d v="2024-01-31T00:00:00"/>
    <n v="79.989999999999995"/>
    <s v="Douglas Watson"/>
    <s v="Appliances"/>
    <n v="2099.9699999999998"/>
    <s v="your customer is not Premium customer"/>
    <s v="he is an Basiccustomer"/>
  </r>
  <r>
    <s v="TRX0022"/>
    <x v="124"/>
    <s v="CUST025"/>
    <s v="Mark Carter"/>
    <s v="P007"/>
    <s v="Desk"/>
    <x v="2"/>
    <n v="1"/>
    <n v="299.99"/>
    <s v="Credit Card"/>
    <s v="North"/>
    <x v="0"/>
    <d v="2021-08-28T00:00:00"/>
    <n v="299.99"/>
    <s v="Mark Carter"/>
    <s v="Furniture"/>
    <n v="79.989999999999995"/>
    <s v="your customer is not Premium customer"/>
    <s v="he is an Basiccustomer"/>
  </r>
  <r>
    <s v="TRX0087"/>
    <x v="125"/>
    <s v="CUST028"/>
    <s v="Betty Campbell"/>
    <s v="P009"/>
    <s v="Monitor"/>
    <x v="0"/>
    <n v="4"/>
    <n v="249.99"/>
    <s v="Credit Card"/>
    <s v="North"/>
    <x v="1"/>
    <d v="2021-09-21T00:00:00"/>
    <n v="999.96"/>
    <s v="Betty Campbell"/>
    <s v="Electronics"/>
    <n v="299.99"/>
    <s v="Premium"/>
    <s v="he is anPremiumcustomer"/>
  </r>
  <r>
    <s v="TRX0107"/>
    <x v="125"/>
    <s v="CUST030"/>
    <s v="Helen Roberts"/>
    <s v="P003"/>
    <s v="Headphones"/>
    <x v="0"/>
    <n v="2"/>
    <n v="149.99"/>
    <s v="Cash"/>
    <s v="North"/>
    <x v="2"/>
    <d v="2022-12-18T00:00:00"/>
    <n v="299.98"/>
    <s v="Helen Roberts"/>
    <s v="Electronics"/>
    <n v="999.96"/>
    <s v="your customer is not Premium customer"/>
    <s v="he is anStandardcustomer"/>
  </r>
  <r>
    <s v="TRX0051"/>
    <x v="125"/>
    <s v="CUST032"/>
    <s v="Sandra Phillips"/>
    <s v="P007"/>
    <s v="Desk"/>
    <x v="2"/>
    <n v="3"/>
    <n v="299.99"/>
    <s v="Credit Card"/>
    <s v="South"/>
    <x v="0"/>
    <d v="2023-10-05T00:00:00"/>
    <n v="899.97"/>
    <s v="Sandra Phillips"/>
    <s v="Furniture"/>
    <n v="299.98"/>
    <s v="your customer is not Premium customer"/>
    <s v="he is an Basiccustomer"/>
  </r>
  <r>
    <s v="TRX0106"/>
    <x v="126"/>
    <s v="CUST039"/>
    <s v="Lawrence Reed"/>
    <s v="P006"/>
    <s v="Office Chair"/>
    <x v="2"/>
    <n v="4"/>
    <n v="199.99"/>
    <s v="Debit Card"/>
    <s v="South"/>
    <x v="2"/>
    <d v="2021-12-14T00:00:00"/>
    <n v="799.96"/>
    <s v="Lawrence Reed"/>
    <s v="Furniture"/>
    <n v="899.97"/>
    <s v="your customer is not Premium customer"/>
    <s v="he is anStandardcustomer"/>
  </r>
  <r>
    <s v="TRX0059"/>
    <x v="126"/>
    <s v="CUST016"/>
    <s v="Elizabeth Hall"/>
    <s v="P007"/>
    <s v="Desk"/>
    <x v="2"/>
    <n v="5"/>
    <n v="299.99"/>
    <s v="Debit Card"/>
    <s v="Central"/>
    <x v="0"/>
    <d v="2021-08-23T00:00:00"/>
    <n v="1499.95"/>
    <s v="Elizabeth Hall"/>
    <s v="Furniture"/>
    <n v="799.96"/>
    <s v="your customer is not Premium customer"/>
    <s v="he is an Basiccustomer"/>
  </r>
  <r>
    <s v="TRX0072"/>
    <x v="126"/>
    <s v="CUST009"/>
    <s v="Robert Thomas"/>
    <s v="P008"/>
    <s v="Bookshelf"/>
    <x v="2"/>
    <n v="3"/>
    <n v="149.99"/>
    <s v="Credit Card"/>
    <s v="East"/>
    <x v="2"/>
    <d v="2021-07-18T00:00:00"/>
    <n v="449.97"/>
    <s v="Robert Thomas"/>
    <s v="Furniture"/>
    <n v="1499.95"/>
    <s v="your customer is not Premium customer"/>
    <s v="he is anStandardcustomer"/>
  </r>
  <r>
    <s v="TRX0110"/>
    <x v="127"/>
    <s v="CUST006"/>
    <s v="Lisa Anderson"/>
    <s v="P005"/>
    <s v="Blender"/>
    <x v="1"/>
    <n v="5"/>
    <n v="59.99"/>
    <s v="Debit Card"/>
    <s v="East"/>
    <x v="0"/>
    <d v="2022-03-22T00:00:00"/>
    <n v="299.95"/>
    <s v="Lisa Anderson"/>
    <s v="Appliances"/>
    <n v="449.97"/>
    <s v="your customer is not Premium customer"/>
    <s v="he is an Basiccustomer"/>
  </r>
  <r>
    <s v="TRX0126"/>
    <x v="128"/>
    <s v="CUST022"/>
    <s v="Susan Green"/>
    <s v="P005"/>
    <s v="Blender"/>
    <x v="1"/>
    <n v="4"/>
    <n v="59.99"/>
    <s v="Debit Card"/>
    <s v="East"/>
    <x v="2"/>
    <d v="2022-01-03T00:00:00"/>
    <n v="239.96"/>
    <s v="Susan Green"/>
    <s v="Appliances"/>
    <n v="299.95"/>
    <s v="your customer is not Premium customer"/>
    <s v="he is anStandardcustomer"/>
  </r>
  <r>
    <s v="TRX0159"/>
    <x v="129"/>
    <s v="CUST024"/>
    <s v="Dorothy Nelson"/>
    <s v="P009"/>
    <s v="Monitor"/>
    <x v="0"/>
    <n v="4"/>
    <n v="249.99"/>
    <s v="Debit Card"/>
    <s v="Central"/>
    <x v="1"/>
    <d v="2023-10-18T00:00:00"/>
    <n v="999.96"/>
    <s v="Dorothy Nelson"/>
    <s v="Electronics"/>
    <n v="239.96"/>
    <s v="Premium"/>
    <s v="he is anPremiumcustomer"/>
  </r>
  <r>
    <s v="TRX0030"/>
    <x v="130"/>
    <s v="CUST011"/>
    <s v="William White"/>
    <s v="P001"/>
    <s v="Laptop"/>
    <x v="0"/>
    <n v="4"/>
    <n v="899.99"/>
    <s v="PayPal"/>
    <s v="Central"/>
    <x v="0"/>
    <d v="2022-06-22T00:00:00"/>
    <n v="3599.96"/>
    <s v="William White"/>
    <s v="Electronics"/>
    <n v="999.96"/>
    <s v="your customer is not Premium customer"/>
    <s v="he is an Basiccustomer"/>
  </r>
  <r>
    <s v="TRX0178"/>
    <x v="130"/>
    <s v="CUST025"/>
    <s v="Mark Carter"/>
    <s v="P007"/>
    <s v="Desk"/>
    <x v="2"/>
    <n v="3"/>
    <n v="299.99"/>
    <s v="Debit Card"/>
    <s v="West"/>
    <x v="2"/>
    <d v="2023-01-26T00:00:00"/>
    <n v="899.97"/>
    <s v="Mark Carter"/>
    <s v="Furniture"/>
    <n v="3599.96"/>
    <s v="your customer is not Premium customer"/>
    <s v="he is anStandardcustomer"/>
  </r>
  <r>
    <s v="TRX0188"/>
    <x v="130"/>
    <s v="CUST045"/>
    <s v="Douglas Watson"/>
    <s v="P002"/>
    <s v="Smartphone"/>
    <x v="0"/>
    <n v="2"/>
    <n v="699.99"/>
    <s v="Debit Card"/>
    <s v="Central"/>
    <x v="1"/>
    <d v="2022-04-30T00:00:00"/>
    <n v="1399.98"/>
    <s v="Douglas Watson"/>
    <s v="Electronics"/>
    <n v="899.97"/>
    <s v="Premium"/>
    <s v="he is anPremiumcustomer"/>
  </r>
  <r>
    <s v="TRX0010"/>
    <x v="131"/>
    <s v="CUST026"/>
    <s v="Karen Hill"/>
    <s v="P002"/>
    <s v="Smartphone"/>
    <x v="0"/>
    <n v="4"/>
    <n v="699.99"/>
    <s v="Debit Card"/>
    <s v="West"/>
    <x v="1"/>
    <d v="2022-05-11T00:00:00"/>
    <n v="2799.96"/>
    <s v="Karen Hill"/>
    <s v="Electronics"/>
    <n v="1399.98"/>
    <s v="Premium"/>
    <s v="he is anPremiumcustomer"/>
  </r>
  <r>
    <s v="TRX0069"/>
    <x v="131"/>
    <s v="CUST029"/>
    <s v="Edward Mitchell"/>
    <s v="P010"/>
    <s v="Keyboard"/>
    <x v="0"/>
    <n v="2"/>
    <n v="89.99"/>
    <s v="Debit Card"/>
    <s v="South"/>
    <x v="0"/>
    <d v="2022-08-04T00:00:00"/>
    <n v="179.98"/>
    <s v="Edward Mitchell"/>
    <s v="Electronics"/>
    <n v="2799.96"/>
    <s v="your customer is not Premium customer"/>
    <s v="he is an Basiccustomer"/>
  </r>
  <r>
    <s v="TRX0166"/>
    <x v="131"/>
    <s v="CUST003"/>
    <s v="Michael Brown"/>
    <s v="P010"/>
    <s v="Keyboard"/>
    <x v="0"/>
    <n v="3"/>
    <n v="89.99"/>
    <s v="Debit Card"/>
    <s v="South"/>
    <x v="1"/>
    <d v="2024-01-16T00:00:00"/>
    <n v="269.97000000000003"/>
    <s v="Michael Brown"/>
    <s v="Electronics"/>
    <n v="179.98"/>
    <s v="Premium"/>
    <s v="he is anPremiumcustomer"/>
  </r>
  <r>
    <s v="TRX0219"/>
    <x v="132"/>
    <s v="CUST037"/>
    <s v="Arthur Edwards"/>
    <s v="P005"/>
    <s v="Blender"/>
    <x v="1"/>
    <n v="1"/>
    <n v="59.99"/>
    <s v="Debit Card"/>
    <s v="Central"/>
    <x v="2"/>
    <d v="2023-04-29T00:00:00"/>
    <n v="59.99"/>
    <s v="Arthur Edwards"/>
    <s v="Appliances"/>
    <n v="269.97000000000003"/>
    <s v="your customer is not Premium customer"/>
    <s v="he is anStandardcustomer"/>
  </r>
  <r>
    <s v="TRX0024"/>
    <x v="133"/>
    <s v="CUST042"/>
    <s v="Ruth Brooks"/>
    <s v="P008"/>
    <s v="Bookshelf"/>
    <x v="2"/>
    <n v="3"/>
    <n v="149.99"/>
    <s v="Debit Card"/>
    <s v="North"/>
    <x v="1"/>
    <d v="2022-01-03T00:00:00"/>
    <n v="449.97"/>
    <s v="Ruth Brooks"/>
    <s v="Furniture"/>
    <n v="59.99"/>
    <s v="Premium"/>
    <s v="he is anPremiumcustomer"/>
  </r>
  <r>
    <s v="TRX0105"/>
    <x v="133"/>
    <s v="CUST048"/>
    <s v="Virginia Sanders"/>
    <s v="P007"/>
    <s v="Desk"/>
    <x v="2"/>
    <n v="5"/>
    <n v="299.99"/>
    <s v="Credit Card"/>
    <s v="South"/>
    <x v="0"/>
    <d v="2023-02-02T00:00:00"/>
    <n v="1499.95"/>
    <s v="Virginia Sanders"/>
    <s v="Furniture"/>
    <n v="449.97"/>
    <s v="your customer is not Premium customer"/>
    <s v="he is an Basiccustomer"/>
  </r>
  <r>
    <s v="TRX0011"/>
    <x v="134"/>
    <s v="CUST040"/>
    <s v="Sharon Butler"/>
    <s v="P005"/>
    <s v="Blender"/>
    <x v="1"/>
    <n v="5"/>
    <n v="59.99"/>
    <s v="Debit Card"/>
    <s v="Central"/>
    <x v="2"/>
    <d v="2023-09-08T00:00:00"/>
    <n v="299.95"/>
    <s v="Sharon Butler"/>
    <s v="Appliances"/>
    <n v="1499.95"/>
    <s v="your customer is not Premium customer"/>
    <s v="he is anStandardcustomer"/>
  </r>
  <r>
    <s v="TRX0187"/>
    <x v="135"/>
    <s v="CUST036"/>
    <s v="Nancy Collins"/>
    <s v="P004"/>
    <s v="Coffee Maker"/>
    <x v="1"/>
    <n v="3"/>
    <n v="79.989999999999995"/>
    <s v="Cash"/>
    <s v="East"/>
    <x v="1"/>
    <d v="2021-08-28T00:00:00"/>
    <n v="239.97"/>
    <s v="Nancy Collins"/>
    <s v="Appliances"/>
    <n v="299.95"/>
    <s v="Premium"/>
    <s v="he is anPremiumcustomer"/>
  </r>
  <r>
    <s v="TRX0089"/>
    <x v="136"/>
    <s v="CUST021"/>
    <s v="Kevin Scott"/>
    <s v="P006"/>
    <s v="Office Chair"/>
    <x v="2"/>
    <n v="3"/>
    <n v="199.99"/>
    <s v="Cash"/>
    <s v="Central"/>
    <x v="0"/>
    <d v="2022-06-23T00:00:00"/>
    <n v="599.97"/>
    <s v="Kevin Scott"/>
    <s v="Furniture"/>
    <n v="239.97"/>
    <s v="your customer is not Premium customer"/>
    <s v="he is an Basiccustomer"/>
  </r>
  <r>
    <s v="TRX0196"/>
    <x v="136"/>
    <s v="CUST023"/>
    <s v="Paul Baker"/>
    <s v="P010"/>
    <s v="Keyboard"/>
    <x v="0"/>
    <n v="2"/>
    <n v="89.99"/>
    <s v="PayPal"/>
    <s v="Central"/>
    <x v="0"/>
    <d v="2023-11-27T00:00:00"/>
    <n v="179.98"/>
    <s v="Paul Baker"/>
    <s v="Electronics"/>
    <n v="599.97"/>
    <s v="your customer is not Premium customer"/>
    <s v="he is an Basiccustomer"/>
  </r>
  <r>
    <s v="TRX0118"/>
    <x v="137"/>
    <s v="CUST015"/>
    <s v="Richard Lee"/>
    <s v="P008"/>
    <s v="Bookshelf"/>
    <x v="2"/>
    <n v="2"/>
    <n v="149.99"/>
    <s v="Cash"/>
    <s v="South"/>
    <x v="1"/>
    <d v="2022-06-16T00:00:00"/>
    <n v="299.98"/>
    <s v="Richard Lee"/>
    <s v="Furniture"/>
    <n v="179.98"/>
    <s v="Premium"/>
    <s v="he is anPremiumcustomer"/>
  </r>
  <r>
    <s v="TRX0179"/>
    <x v="138"/>
    <s v="CUST029"/>
    <s v="Edward Mitchell"/>
    <s v="P002"/>
    <s v="Smartphone"/>
    <x v="0"/>
    <n v="5"/>
    <n v="699.99"/>
    <s v="PayPal"/>
    <s v="South"/>
    <x v="1"/>
    <d v="2024-03-01T00:00:00"/>
    <n v="3499.95"/>
    <s v="Edward Mitchell"/>
    <s v="Electronics"/>
    <n v="299.98"/>
    <s v="Premium"/>
    <s v="he is anPremiumcustomer"/>
  </r>
  <r>
    <s v="TRX0168"/>
    <x v="138"/>
    <s v="CUST003"/>
    <s v="Michael Brown"/>
    <s v="P008"/>
    <s v="Bookshelf"/>
    <x v="2"/>
    <n v="3"/>
    <n v="149.99"/>
    <s v="PayPal"/>
    <s v="Central"/>
    <x v="2"/>
    <d v="2022-03-13T00:00:00"/>
    <n v="449.97"/>
    <s v="Michael Brown"/>
    <s v="Furniture"/>
    <n v="3499.95"/>
    <s v="your customer is not Premium customer"/>
    <s v="he is anStandardcustomer"/>
  </r>
  <r>
    <s v="TRX0214"/>
    <x v="139"/>
    <s v="CUST018"/>
    <s v="Barbara Young"/>
    <s v="P001"/>
    <s v="Laptop"/>
    <x v="0"/>
    <n v="3"/>
    <n v="899.99"/>
    <s v="Cash"/>
    <s v="East"/>
    <x v="2"/>
    <d v="2022-02-21T00:00:00"/>
    <n v="2699.97"/>
    <s v="Barbara Young"/>
    <s v="Electronics"/>
    <n v="449.97"/>
    <s v="your customer is not Premium customer"/>
    <s v="he is anStandardcustomer"/>
  </r>
  <r>
    <s v="TRX0221"/>
    <x v="139"/>
    <s v="CUST033"/>
    <s v="Frank Torres"/>
    <s v="P006"/>
    <s v="Office Chair"/>
    <x v="2"/>
    <n v="3"/>
    <n v="199.99"/>
    <s v="Cash"/>
    <s v="West"/>
    <x v="1"/>
    <d v="2022-09-19T00:00:00"/>
    <n v="599.97"/>
    <s v="Frank Torres"/>
    <s v="Furniture"/>
    <n v="2699.97"/>
    <s v="Premium"/>
    <s v="he is anPremiumcustomer"/>
  </r>
  <r>
    <s v="TRX0083"/>
    <x v="140"/>
    <s v="CUST017"/>
    <s v="Charles Allen"/>
    <s v="P007"/>
    <s v="Desk"/>
    <x v="2"/>
    <n v="5"/>
    <n v="299.99"/>
    <s v="Cash"/>
    <s v="West"/>
    <x v="2"/>
    <d v="2023-08-04T00:00:00"/>
    <n v="1499.95"/>
    <s v="Charles Allen"/>
    <s v="Furniture"/>
    <n v="599.97"/>
    <s v="your customer is not Premium customer"/>
    <s v="he is anStandardcustomer"/>
  </r>
  <r>
    <s v="TRX0151"/>
    <x v="140"/>
    <s v="CUST040"/>
    <s v="Sharon Butler"/>
    <s v="P002"/>
    <s v="Smartphone"/>
    <x v="0"/>
    <n v="1"/>
    <n v="699.99"/>
    <s v="PayPal"/>
    <s v="West"/>
    <x v="0"/>
    <d v="2023-01-08T00:00:00"/>
    <n v="699.99"/>
    <s v="Sharon Butler"/>
    <s v="Electronics"/>
    <n v="1499.95"/>
    <s v="your customer is not Premium customer"/>
    <s v="he is an Basiccustomer"/>
  </r>
  <r>
    <s v="TRX0047"/>
    <x v="141"/>
    <s v="CUST042"/>
    <s v="Ruth Brooks"/>
    <s v="P002"/>
    <s v="Smartphone"/>
    <x v="0"/>
    <n v="1"/>
    <n v="699.99"/>
    <s v="Cash"/>
    <s v="North"/>
    <x v="1"/>
    <d v="2022-01-22T00:00:00"/>
    <n v="699.99"/>
    <s v="Ruth Brooks"/>
    <s v="Electronics"/>
    <n v="699.99"/>
    <s v="Premium"/>
    <s v="he is anPremiumcustomer"/>
  </r>
  <r>
    <s v="TRX0200"/>
    <x v="141"/>
    <s v="CUST037"/>
    <s v="Arthur Edwards"/>
    <s v="P008"/>
    <s v="Bookshelf"/>
    <x v="2"/>
    <n v="4"/>
    <n v="149.99"/>
    <s v="PayPal"/>
    <s v="North"/>
    <x v="1"/>
    <d v="2021-08-04T00:00:00"/>
    <n v="599.96"/>
    <s v="Arthur Edwards"/>
    <s v="Furniture"/>
    <n v="699.99"/>
    <s v="Premium"/>
    <s v="he is anPremiumcustomer"/>
  </r>
  <r>
    <s v="TRX0062"/>
    <x v="141"/>
    <s v="CUST016"/>
    <s v="Elizabeth Hall"/>
    <s v="P010"/>
    <s v="Keyboard"/>
    <x v="0"/>
    <n v="5"/>
    <n v="89.99"/>
    <s v="PayPal"/>
    <s v="West"/>
    <x v="1"/>
    <d v="2023-08-02T00:00:00"/>
    <n v="449.95"/>
    <s v="Elizabeth Hall"/>
    <s v="Electronics"/>
    <n v="599.96"/>
    <s v="Premium"/>
    <s v="he is anPremiumcustomer"/>
  </r>
  <r>
    <s v="TRX0182"/>
    <x v="142"/>
    <s v="CUST031"/>
    <s v="Steven Turner"/>
    <s v="P006"/>
    <s v="Office Chair"/>
    <x v="2"/>
    <n v="2"/>
    <n v="199.99"/>
    <s v="Cash"/>
    <s v="Central"/>
    <x v="1"/>
    <d v="2022-01-12T00:00:00"/>
    <n v="399.98"/>
    <s v="Steven Turner"/>
    <s v="Furniture"/>
    <n v="449.95"/>
    <s v="Premium"/>
    <s v="he is anPremiumcustomer"/>
  </r>
  <r>
    <s v="TRX0229"/>
    <x v="143"/>
    <s v="CUST015"/>
    <s v="Richard Lee"/>
    <s v="P005"/>
    <s v="Blender"/>
    <x v="1"/>
    <n v="4"/>
    <n v="59.99"/>
    <s v="Cash"/>
    <s v="West"/>
    <x v="2"/>
    <d v="2023-05-24T00:00:00"/>
    <n v="239.96"/>
    <s v="Richard Lee"/>
    <s v="Appliances"/>
    <n v="399.98"/>
    <s v="your customer is not Premium customer"/>
    <s v="he is anStandardcustomer"/>
  </r>
  <r>
    <s v="TRX0048"/>
    <x v="143"/>
    <s v="CUST048"/>
    <s v="Virginia Sanders"/>
    <s v="P007"/>
    <s v="Desk"/>
    <x v="2"/>
    <n v="2"/>
    <n v="299.99"/>
    <s v="PayPal"/>
    <s v="South"/>
    <x v="0"/>
    <d v="2022-01-15T00:00:00"/>
    <n v="599.98"/>
    <s v="Virginia Sanders"/>
    <s v="Furniture"/>
    <n v="239.96"/>
    <s v="your customer is not Premium customer"/>
    <s v="he is an Basiccustomer"/>
  </r>
  <r>
    <s v="TRX0227"/>
    <x v="144"/>
    <s v="CUST017"/>
    <s v="Charles Allen"/>
    <s v="P008"/>
    <s v="Bookshelf"/>
    <x v="2"/>
    <n v="2"/>
    <n v="149.99"/>
    <s v="Cash"/>
    <s v="Central"/>
    <x v="0"/>
    <d v="2023-05-22T00:00:00"/>
    <n v="299.98"/>
    <s v="Charles Allen"/>
    <s v="Furniture"/>
    <n v="599.98"/>
    <s v="your customer is not Premium customer"/>
    <s v="he is an Basiccustomer"/>
  </r>
  <r>
    <s v="TRX0226"/>
    <x v="145"/>
    <s v="CUST039"/>
    <s v="Lawrence Reed"/>
    <s v="P002"/>
    <s v="Smartphone"/>
    <x v="0"/>
    <n v="5"/>
    <n v="699.99"/>
    <s v="Debit Card"/>
    <s v="East"/>
    <x v="1"/>
    <d v="2023-08-23T00:00:00"/>
    <n v="3499.95"/>
    <s v="Lawrence Reed"/>
    <s v="Electronics"/>
    <n v="299.98"/>
    <s v="Premium"/>
    <s v="he is anPremiumcustomer"/>
  </r>
  <r>
    <s v="TRX0053"/>
    <x v="146"/>
    <s v="CUST043"/>
    <s v="Dennis Gray"/>
    <s v="P005"/>
    <s v="Blender"/>
    <x v="1"/>
    <n v="5"/>
    <n v="59.99"/>
    <s v="Cash"/>
    <s v="West"/>
    <x v="1"/>
    <d v="2023-12-31T00:00:00"/>
    <n v="299.95"/>
    <s v="Dennis Gray"/>
    <s v="Appliances"/>
    <n v="3499.95"/>
    <s v="Premium"/>
    <s v="he is anPremiumcustomer"/>
  </r>
  <r>
    <s v="TRX0233"/>
    <x v="147"/>
    <s v="CUST023"/>
    <s v="Paul Baker"/>
    <s v="P010"/>
    <s v="Keyboard"/>
    <x v="0"/>
    <n v="2"/>
    <n v="89.99"/>
    <s v="Credit Card"/>
    <s v="West"/>
    <x v="1"/>
    <d v="2024-01-04T00:00:00"/>
    <n v="179.98"/>
    <s v="Paul Baker"/>
    <s v="Electronics"/>
    <n v="299.95"/>
    <s v="Premium"/>
    <s v="he is anPremiumcustomer"/>
  </r>
  <r>
    <s v="TRX0175"/>
    <x v="147"/>
    <s v="CUST030"/>
    <s v="Helen Roberts"/>
    <s v="P009"/>
    <s v="Monitor"/>
    <x v="0"/>
    <n v="5"/>
    <n v="249.99"/>
    <s v="Cash"/>
    <s v="East"/>
    <x v="2"/>
    <d v="2021-12-10T00:00:00"/>
    <n v="1249.95"/>
    <s v="Helen Roberts"/>
    <s v="Electronics"/>
    <n v="179.98"/>
    <s v="your customer is not Premium customer"/>
    <s v="he is anStandardcustomer"/>
  </r>
  <r>
    <s v="TRX0186"/>
    <x v="148"/>
    <s v="CUST039"/>
    <s v="Lawrence Reed"/>
    <s v="P008"/>
    <s v="Bookshelf"/>
    <x v="2"/>
    <n v="2"/>
    <n v="149.99"/>
    <s v="PayPal"/>
    <s v="Central"/>
    <x v="1"/>
    <d v="2022-03-12T00:00:00"/>
    <n v="299.98"/>
    <s v="Lawrence Reed"/>
    <s v="Furniture"/>
    <n v="1249.95"/>
    <s v="Premium"/>
    <s v="he is anPremiumcustomer"/>
  </r>
  <r>
    <s v="TRX0016"/>
    <x v="148"/>
    <s v="CUST035"/>
    <s v="Harry Morgan"/>
    <s v="P001"/>
    <s v="Laptop"/>
    <x v="0"/>
    <n v="5"/>
    <n v="899.99"/>
    <s v="PayPal"/>
    <s v="East"/>
    <x v="1"/>
    <d v="2024-04-07T00:00:00"/>
    <n v="4499.95"/>
    <s v="Harry Morgan"/>
    <s v="Electronics"/>
    <n v="299.98"/>
    <s v="Premium"/>
    <s v="he is anPremiumcustomer"/>
  </r>
  <r>
    <s v="TRX0199"/>
    <x v="148"/>
    <s v="CUST017"/>
    <s v="Charles Allen"/>
    <s v="P008"/>
    <s v="Bookshelf"/>
    <x v="2"/>
    <n v="4"/>
    <n v="149.99"/>
    <s v="Cash"/>
    <s v="Central"/>
    <x v="2"/>
    <d v="2023-12-03T00:00:00"/>
    <n v="599.96"/>
    <s v="Charles Allen"/>
    <s v="Furniture"/>
    <n v="4499.95"/>
    <s v="your customer is not Premium customer"/>
    <s v="he is anStandardcustomer"/>
  </r>
  <r>
    <s v="TRX0038"/>
    <x v="149"/>
    <s v="CUST035"/>
    <s v="Harry Morgan"/>
    <s v="P009"/>
    <s v="Monitor"/>
    <x v="0"/>
    <n v="1"/>
    <n v="249.99"/>
    <s v="Cash"/>
    <s v="North"/>
    <x v="2"/>
    <d v="2023-07-10T00:00:00"/>
    <n v="249.99"/>
    <s v="Harry Morgan"/>
    <s v="Electronics"/>
    <n v="599.96"/>
    <s v="your customer is not Premium customer"/>
    <s v="he is anStandardcustomer"/>
  </r>
  <r>
    <s v="TRX0014"/>
    <x v="150"/>
    <s v="CUST033"/>
    <s v="Frank Torres"/>
    <s v="P005"/>
    <s v="Blender"/>
    <x v="1"/>
    <n v="2"/>
    <n v="59.99"/>
    <s v="Credit Card"/>
    <s v="West"/>
    <x v="0"/>
    <d v="2023-09-24T00:00:00"/>
    <n v="119.98"/>
    <s v="Frank Torres"/>
    <s v="Appliances"/>
    <n v="249.99"/>
    <s v="your customer is not Premium customer"/>
    <s v="he is an Basiccustomer"/>
  </r>
  <r>
    <s v="TRX0003"/>
    <x v="151"/>
    <s v="CUST002"/>
    <s v="Emma Wilson"/>
    <s v="P008"/>
    <s v="Bookshelf"/>
    <x v="2"/>
    <n v="2"/>
    <n v="149.99"/>
    <s v="Cash"/>
    <s v="West"/>
    <x v="1"/>
    <d v="2023-11-03T00:00:00"/>
    <n v="299.98"/>
    <s v="Emma Wilson"/>
    <s v="Furniture"/>
    <n v="119.98"/>
    <s v="Premium"/>
    <s v="he is anPremiumcustomer"/>
  </r>
  <r>
    <s v="TRX0124"/>
    <x v="151"/>
    <s v="CUST040"/>
    <s v="Sharon Butler"/>
    <s v="P001"/>
    <s v="Laptop"/>
    <x v="0"/>
    <n v="3"/>
    <n v="899.99"/>
    <s v="Debit Card"/>
    <s v="North"/>
    <x v="1"/>
    <d v="2022-11-11T00:00:00"/>
    <n v="2699.97"/>
    <s v="Sharon Butler"/>
    <s v="Electronics"/>
    <n v="299.98"/>
    <s v="Premium"/>
    <s v="he is anPremiumcustomer"/>
  </r>
  <r>
    <s v="TRX0013"/>
    <x v="151"/>
    <s v="CUST024"/>
    <s v="Dorothy Nelson"/>
    <s v="P001"/>
    <s v="Laptop"/>
    <x v="0"/>
    <n v="3"/>
    <n v="899.99"/>
    <s v="PayPal"/>
    <s v="North"/>
    <x v="0"/>
    <d v="2023-02-18T00:00:00"/>
    <n v="2699.97"/>
    <s v="Dorothy Nelson"/>
    <s v="Electronics"/>
    <n v="2699.97"/>
    <s v="your customer is not Premium customer"/>
    <s v="he is an Basiccustomer"/>
  </r>
  <r>
    <s v="TRX0019"/>
    <x v="152"/>
    <s v="CUST023"/>
    <s v="Paul Baker"/>
    <s v="P007"/>
    <s v="Desk"/>
    <x v="2"/>
    <n v="3"/>
    <n v="299.99"/>
    <s v="Credit Card"/>
    <s v="West"/>
    <x v="1"/>
    <d v="2023-11-04T00:00:00"/>
    <n v="899.97"/>
    <s v="Paul Baker"/>
    <s v="Furniture"/>
    <n v="2699.97"/>
    <s v="Premium"/>
    <s v="he is anPremiumcustomer"/>
  </r>
  <r>
    <s v="TRX0050"/>
    <x v="153"/>
    <s v="CUST001"/>
    <s v="John Smith"/>
    <s v="P008"/>
    <s v="Bookshelf"/>
    <x v="2"/>
    <n v="4"/>
    <n v="149.99"/>
    <s v="PayPal"/>
    <s v="West"/>
    <x v="2"/>
    <d v="2021-12-30T00:00:00"/>
    <n v="599.96"/>
    <s v="John Smith"/>
    <s v="Furniture"/>
    <n v="899.97"/>
    <s v="your customer is not Premium customer"/>
    <s v="he is anStandardcustomer"/>
  </r>
  <r>
    <s v="TRX0152"/>
    <x v="154"/>
    <s v="CUST044"/>
    <s v="Cynthia Price"/>
    <s v="P004"/>
    <s v="Coffee Maker"/>
    <x v="1"/>
    <n v="4"/>
    <n v="79.989999999999995"/>
    <s v="Credit Card"/>
    <s v="Central"/>
    <x v="0"/>
    <d v="2023-12-28T00:00:00"/>
    <n v="319.95999999999998"/>
    <s v="Cynthia Price"/>
    <s v="Appliances"/>
    <n v="599.96"/>
    <s v="your customer is not Premium customer"/>
    <s v="he is an Basiccustomer"/>
  </r>
  <r>
    <s v="TRX0213"/>
    <x v="155"/>
    <s v="CUST020"/>
    <s v="Margaret Wright"/>
    <s v="P010"/>
    <s v="Keyboard"/>
    <x v="0"/>
    <n v="5"/>
    <n v="89.99"/>
    <s v="PayPal"/>
    <s v="South"/>
    <x v="0"/>
    <d v="2022-05-23T00:00:00"/>
    <n v="449.95"/>
    <s v="Margaret Wright"/>
    <s v="Electronics"/>
    <n v="319.95999999999998"/>
    <s v="your customer is not Premium customer"/>
    <s v="he is an Basiccustomer"/>
  </r>
  <r>
    <s v="TRX0197"/>
    <x v="156"/>
    <s v="CUST048"/>
    <s v="Virginia Sanders"/>
    <s v="P008"/>
    <s v="Bookshelf"/>
    <x v="2"/>
    <n v="3"/>
    <n v="149.99"/>
    <s v="PayPal"/>
    <s v="Central"/>
    <x v="2"/>
    <d v="2023-09-02T00:00:00"/>
    <n v="449.97"/>
    <s v="Virginia Sanders"/>
    <s v="Furniture"/>
    <n v="449.95"/>
    <s v="your customer is not Premium customer"/>
    <s v="he is anStandardcustomer"/>
  </r>
  <r>
    <s v="TRX0250"/>
    <x v="156"/>
    <s v="CUST026"/>
    <s v="Karen Hill"/>
    <s v="P010"/>
    <s v="Keyboard"/>
    <x v="0"/>
    <n v="2"/>
    <n v="89.99"/>
    <s v="Debit Card"/>
    <s v="West"/>
    <x v="1"/>
    <d v="2021-11-22T00:00:00"/>
    <n v="179.98"/>
    <s v="Karen Hill"/>
    <s v="Electronics"/>
    <n v="449.97"/>
    <s v="Premium"/>
    <s v="he is anPremiumcustomer"/>
  </r>
  <r>
    <s v="TRX0068"/>
    <x v="157"/>
    <s v="CUST044"/>
    <s v="Cynthia Price"/>
    <s v="P002"/>
    <s v="Smartphone"/>
    <x v="0"/>
    <n v="2"/>
    <n v="699.99"/>
    <s v="PayPal"/>
    <s v="North"/>
    <x v="2"/>
    <d v="2022-02-26T00:00:00"/>
    <n v="1399.98"/>
    <s v="Cynthia Price"/>
    <s v="Electronics"/>
    <n v="179.98"/>
    <s v="your customer is not Premium customer"/>
    <s v="he is anStandardcustomer"/>
  </r>
  <r>
    <s v="TRX0144"/>
    <x v="158"/>
    <s v="CUST029"/>
    <s v="Edward Mitchell"/>
    <s v="P001"/>
    <s v="Laptop"/>
    <x v="0"/>
    <n v="3"/>
    <n v="899.99"/>
    <s v="Cash"/>
    <s v="Central"/>
    <x v="2"/>
    <d v="2023-01-27T00:00:00"/>
    <n v="2699.97"/>
    <s v="Edward Mitchell"/>
    <s v="Electronics"/>
    <n v="1399.98"/>
    <s v="your customer is not Premium customer"/>
    <s v="he is anStandardcustomer"/>
  </r>
  <r>
    <s v="TRX0039"/>
    <x v="159"/>
    <s v="CUST048"/>
    <s v="Virginia Sanders"/>
    <s v="P004"/>
    <s v="Coffee Maker"/>
    <x v="1"/>
    <n v="3"/>
    <n v="79.989999999999995"/>
    <s v="Credit Card"/>
    <s v="North"/>
    <x v="0"/>
    <d v="2021-11-11T00:00:00"/>
    <n v="239.97"/>
    <s v="Virginia Sanders"/>
    <s v="Appliances"/>
    <n v="2699.97"/>
    <s v="your customer is not Premium customer"/>
    <s v="he is an Basiccustomer"/>
  </r>
  <r>
    <s v="TRX0116"/>
    <x v="160"/>
    <s v="CUST009"/>
    <s v="Robert Thomas"/>
    <s v="P010"/>
    <s v="Keyboard"/>
    <x v="0"/>
    <n v="1"/>
    <n v="89.99"/>
    <s v="Debit Card"/>
    <s v="East"/>
    <x v="0"/>
    <d v="2024-02-24T00:00:00"/>
    <n v="89.99"/>
    <s v="Robert Thomas"/>
    <s v="Electronics"/>
    <n v="239.97"/>
    <s v="your customer is not Premium customer"/>
    <s v="he is an Basiccustomer"/>
  </r>
  <r>
    <s v="TRX0120"/>
    <x v="161"/>
    <s v="CUST045"/>
    <s v="Douglas Watson"/>
    <s v="P002"/>
    <s v="Smartphone"/>
    <x v="0"/>
    <n v="3"/>
    <n v="699.99"/>
    <s v="PayPal"/>
    <s v="North"/>
    <x v="0"/>
    <d v="2022-12-14T00:00:00"/>
    <n v="2099.9699999999998"/>
    <s v="Douglas Watson"/>
    <s v="Electronics"/>
    <n v="89.99"/>
    <s v="your customer is not Premium customer"/>
    <s v="he is an Basiccustomer"/>
  </r>
  <r>
    <s v="TRX0103"/>
    <x v="161"/>
    <s v="CUST039"/>
    <s v="Lawrence Reed"/>
    <s v="P010"/>
    <s v="Keyboard"/>
    <x v="0"/>
    <n v="2"/>
    <n v="89.99"/>
    <s v="Debit Card"/>
    <s v="East"/>
    <x v="0"/>
    <d v="2023-06-11T00:00:00"/>
    <n v="179.98"/>
    <s v="Lawrence Reed"/>
    <s v="Electronics"/>
    <n v="2099.9699999999998"/>
    <s v="your customer is not Premium customer"/>
    <s v="he is an Basiccustomer"/>
  </r>
  <r>
    <s v="TRX0064"/>
    <x v="161"/>
    <s v="CUST031"/>
    <s v="Steven Turner"/>
    <s v="P010"/>
    <s v="Keyboard"/>
    <x v="0"/>
    <n v="3"/>
    <n v="89.99"/>
    <s v="Debit Card"/>
    <s v="North"/>
    <x v="1"/>
    <d v="2022-11-13T00:00:00"/>
    <n v="269.97000000000003"/>
    <s v="Steven Turner"/>
    <s v="Electronics"/>
    <n v="179.98"/>
    <s v="Premium"/>
    <s v="he is anPremiumcusto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12A70F-7D8B-4ED7-9342-8ECFDEE4801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19" firstHeaderRow="0" firstDataRow="1" firstDataCol="1"/>
  <pivotFields count="14">
    <pivotField showAll="0"/>
    <pivotField numFmtId="14" showAll="0"/>
    <pivotField showAll="0"/>
    <pivotField axis="axisRow"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axis="axisRow" showAll="0">
      <items count="4">
        <item x="1"/>
        <item x="0"/>
        <item x="2"/>
        <item t="default"/>
      </items>
    </pivotField>
    <pivotField dataField="1" numFmtId="1" showAll="0"/>
    <pivotField dataField="1" numFmtId="2" showAll="0"/>
    <pivotField showAll="0"/>
    <pivotField showAll="0"/>
    <pivotField showAll="0"/>
    <pivotField numFmtId="164" showAll="0"/>
    <pivotField dataField="1" numFmtId="2" showAll="0"/>
  </pivotFields>
  <rowFields count="2">
    <field x="6"/>
    <field x="3"/>
  </rowFields>
  <rowItems count="118">
    <i>
      <x/>
    </i>
    <i r="1">
      <x/>
    </i>
    <i r="1">
      <x v="2"/>
    </i>
    <i r="1">
      <x v="4"/>
    </i>
    <i r="1">
      <x v="5"/>
    </i>
    <i r="1">
      <x v="6"/>
    </i>
    <i r="1">
      <x v="7"/>
    </i>
    <i r="1">
      <x v="8"/>
    </i>
    <i r="1">
      <x v="9"/>
    </i>
    <i r="1">
      <x v="10"/>
    </i>
    <i r="1">
      <x v="11"/>
    </i>
    <i r="1">
      <x v="13"/>
    </i>
    <i r="1">
      <x v="14"/>
    </i>
    <i r="1">
      <x v="15"/>
    </i>
    <i r="1">
      <x v="16"/>
    </i>
    <i r="1">
      <x v="18"/>
    </i>
    <i r="1">
      <x v="19"/>
    </i>
    <i r="1">
      <x v="20"/>
    </i>
    <i r="1">
      <x v="23"/>
    </i>
    <i r="1">
      <x v="24"/>
    </i>
    <i r="1">
      <x v="25"/>
    </i>
    <i r="1">
      <x v="26"/>
    </i>
    <i r="1">
      <x v="27"/>
    </i>
    <i r="1">
      <x v="28"/>
    </i>
    <i r="1">
      <x v="29"/>
    </i>
    <i r="1">
      <x v="31"/>
    </i>
    <i r="1">
      <x v="35"/>
    </i>
    <i r="1">
      <x v="37"/>
    </i>
    <i r="1">
      <x v="39"/>
    </i>
    <i r="1">
      <x v="40"/>
    </i>
    <i r="1">
      <x v="45"/>
    </i>
    <i r="1">
      <x v="46"/>
    </i>
    <i r="1">
      <x v="47"/>
    </i>
    <i r="1">
      <x v="48"/>
    </i>
    <i>
      <x v="1"/>
    </i>
    <i r="1">
      <x/>
    </i>
    <i r="1">
      <x v="1"/>
    </i>
    <i r="1">
      <x v="2"/>
    </i>
    <i r="1">
      <x v="3"/>
    </i>
    <i r="1">
      <x v="4"/>
    </i>
    <i r="1">
      <x v="5"/>
    </i>
    <i r="1">
      <x v="6"/>
    </i>
    <i r="1">
      <x v="7"/>
    </i>
    <i r="1">
      <x v="9"/>
    </i>
    <i r="1">
      <x v="10"/>
    </i>
    <i r="1">
      <x v="11"/>
    </i>
    <i r="1">
      <x v="12"/>
    </i>
    <i r="1">
      <x v="13"/>
    </i>
    <i r="1">
      <x v="15"/>
    </i>
    <i r="1">
      <x v="16"/>
    </i>
    <i r="1">
      <x v="17"/>
    </i>
    <i r="1">
      <x v="18"/>
    </i>
    <i r="1">
      <x v="20"/>
    </i>
    <i r="1">
      <x v="22"/>
    </i>
    <i r="1">
      <x v="24"/>
    </i>
    <i r="1">
      <x v="25"/>
    </i>
    <i r="1">
      <x v="26"/>
    </i>
    <i r="1">
      <x v="27"/>
    </i>
    <i r="1">
      <x v="28"/>
    </i>
    <i r="1">
      <x v="29"/>
    </i>
    <i r="1">
      <x v="30"/>
    </i>
    <i r="1">
      <x v="31"/>
    </i>
    <i r="1">
      <x v="32"/>
    </i>
    <i r="1">
      <x v="33"/>
    </i>
    <i r="1">
      <x v="34"/>
    </i>
    <i r="1">
      <x v="35"/>
    </i>
    <i r="1">
      <x v="36"/>
    </i>
    <i r="1">
      <x v="37"/>
    </i>
    <i r="1">
      <x v="38"/>
    </i>
    <i r="1">
      <x v="39"/>
    </i>
    <i r="1">
      <x v="41"/>
    </i>
    <i r="1">
      <x v="42"/>
    </i>
    <i r="1">
      <x v="43"/>
    </i>
    <i r="1">
      <x v="44"/>
    </i>
    <i r="1">
      <x v="45"/>
    </i>
    <i r="1">
      <x v="46"/>
    </i>
    <i r="1">
      <x v="47"/>
    </i>
    <i r="1">
      <x v="48"/>
    </i>
    <i r="1">
      <x v="49"/>
    </i>
    <i>
      <x v="2"/>
    </i>
    <i r="1">
      <x/>
    </i>
    <i r="1">
      <x v="2"/>
    </i>
    <i r="1">
      <x v="3"/>
    </i>
    <i r="1">
      <x v="4"/>
    </i>
    <i r="1">
      <x v="5"/>
    </i>
    <i r="1">
      <x v="6"/>
    </i>
    <i r="1">
      <x v="7"/>
    </i>
    <i r="1">
      <x v="9"/>
    </i>
    <i r="1">
      <x v="11"/>
    </i>
    <i r="1">
      <x v="12"/>
    </i>
    <i r="1">
      <x v="13"/>
    </i>
    <i r="1">
      <x v="14"/>
    </i>
    <i r="1">
      <x v="18"/>
    </i>
    <i r="1">
      <x v="20"/>
    </i>
    <i r="1">
      <x v="21"/>
    </i>
    <i r="1">
      <x v="24"/>
    </i>
    <i r="1">
      <x v="25"/>
    </i>
    <i r="1">
      <x v="26"/>
    </i>
    <i r="1">
      <x v="27"/>
    </i>
    <i r="1">
      <x v="28"/>
    </i>
    <i r="1">
      <x v="29"/>
    </i>
    <i r="1">
      <x v="30"/>
    </i>
    <i r="1">
      <x v="31"/>
    </i>
    <i r="1">
      <x v="32"/>
    </i>
    <i r="1">
      <x v="33"/>
    </i>
    <i r="1">
      <x v="35"/>
    </i>
    <i r="1">
      <x v="36"/>
    </i>
    <i r="1">
      <x v="37"/>
    </i>
    <i r="1">
      <x v="38"/>
    </i>
    <i r="1">
      <x v="40"/>
    </i>
    <i r="1">
      <x v="41"/>
    </i>
    <i r="1">
      <x v="42"/>
    </i>
    <i r="1">
      <x v="43"/>
    </i>
    <i r="1">
      <x v="44"/>
    </i>
    <i r="1">
      <x v="46"/>
    </i>
    <i r="1">
      <x v="47"/>
    </i>
    <i r="1">
      <x v="48"/>
    </i>
    <i t="grand">
      <x/>
    </i>
  </rowItems>
  <colFields count="1">
    <field x="-2"/>
  </colFields>
  <colItems count="3">
    <i>
      <x/>
    </i>
    <i i="1">
      <x v="1"/>
    </i>
    <i i="2">
      <x v="2"/>
    </i>
  </colItems>
  <dataFields count="3">
    <dataField name="Sum of Quantity" fld="7" baseField="0" baseItem="0"/>
    <dataField name="Sum of Total_Amount" fld="13" baseField="0" baseItem="0"/>
    <dataField name="Sum of Unit_Price" fld="8" baseField="0" baseItem="0"/>
  </dataFields>
  <formats count="1">
    <format dxfId="295">
      <pivotArea field="6"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50F5D-C0E5-43BD-BAFA-E7E4AA36B014}"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C12" firstHeaderRow="1" firstDataRow="2" firstDataCol="1"/>
  <pivotFields count="22">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numFmtId="1" showAll="0"/>
    <pivotField numFmtId="2" showAll="0"/>
    <pivotField showAll="0"/>
    <pivotField showAll="0"/>
    <pivotField axis="axisCol" showAll="0">
      <items count="4">
        <item x="0"/>
        <item h="1" x="1"/>
        <item h="1" x="2"/>
        <item t="default"/>
      </items>
    </pivotField>
    <pivotField numFmtId="164" showAll="0"/>
    <pivotField dataField="1" numFmtId="2"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5">
    <field x="6"/>
    <field x="21"/>
    <field x="20"/>
    <field x="19"/>
    <field x="1"/>
  </rowFields>
  <rowItems count="10">
    <i>
      <x/>
    </i>
    <i r="1">
      <x v="1"/>
    </i>
    <i r="1">
      <x v="2"/>
    </i>
    <i>
      <x v="1"/>
    </i>
    <i r="1">
      <x v="1"/>
    </i>
    <i r="1">
      <x v="2"/>
    </i>
    <i>
      <x v="2"/>
    </i>
    <i r="1">
      <x v="1"/>
    </i>
    <i r="1">
      <x v="2"/>
    </i>
    <i t="grand">
      <x/>
    </i>
  </rowItems>
  <colFields count="1">
    <field x="11"/>
  </colFields>
  <colItems count="2">
    <i>
      <x/>
    </i>
    <i t="grand">
      <x/>
    </i>
  </colItems>
  <dataFields count="1">
    <dataField name="Sum of Total_Amount" fld="13" baseField="0" baseItem="0" numFmtId="169"/>
  </dataFields>
  <formats count="13">
    <format dxfId="261">
      <pivotArea type="all" dataOnly="0" outline="0" fieldPosition="0"/>
    </format>
    <format dxfId="246">
      <pivotArea outline="0" collapsedLevelsAreSubtotals="1" fieldPosition="0"/>
    </format>
    <format dxfId="245">
      <pivotArea type="origin" dataOnly="0" labelOnly="1" outline="0" fieldPosition="0"/>
    </format>
    <format dxfId="244">
      <pivotArea field="11" type="button" dataOnly="0" labelOnly="1" outline="0" axis="axisCol" fieldPosition="0"/>
    </format>
    <format dxfId="243">
      <pivotArea type="topRight" dataOnly="0" labelOnly="1" outline="0" fieldPosition="0"/>
    </format>
    <format dxfId="242">
      <pivotArea field="6" type="button" dataOnly="0" labelOnly="1" outline="0" axis="axisRow" fieldPosition="0"/>
    </format>
    <format dxfId="241">
      <pivotArea dataOnly="0" labelOnly="1" fieldPosition="0">
        <references count="1">
          <reference field="6" count="0"/>
        </references>
      </pivotArea>
    </format>
    <format dxfId="240">
      <pivotArea dataOnly="0" labelOnly="1" grandRow="1" outline="0" fieldPosition="0"/>
    </format>
    <format dxfId="239">
      <pivotArea dataOnly="0" labelOnly="1" fieldPosition="0">
        <references count="2">
          <reference field="6" count="1" selected="0">
            <x v="0"/>
          </reference>
          <reference field="21" count="2">
            <x v="1"/>
            <x v="2"/>
          </reference>
        </references>
      </pivotArea>
    </format>
    <format dxfId="238">
      <pivotArea dataOnly="0" labelOnly="1" fieldPosition="0">
        <references count="2">
          <reference field="6" count="1" selected="0">
            <x v="1"/>
          </reference>
          <reference field="21" count="2">
            <x v="1"/>
            <x v="2"/>
          </reference>
        </references>
      </pivotArea>
    </format>
    <format dxfId="237">
      <pivotArea dataOnly="0" labelOnly="1" fieldPosition="0">
        <references count="2">
          <reference field="6" count="1" selected="0">
            <x v="2"/>
          </reference>
          <reference field="21" count="2">
            <x v="1"/>
            <x v="2"/>
          </reference>
        </references>
      </pivotArea>
    </format>
    <format dxfId="236">
      <pivotArea dataOnly="0" labelOnly="1" fieldPosition="0">
        <references count="1">
          <reference field="11" count="0"/>
        </references>
      </pivotArea>
    </format>
    <format dxfId="235">
      <pivotArea dataOnly="0" labelOnly="1" grandCol="1" outline="0" fieldPosition="0"/>
    </format>
  </formats>
  <chartFormats count="39">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4" format="0" series="1">
      <pivotArea type="data" outline="0" fieldPosition="0">
        <references count="2">
          <reference field="4294967294" count="1" selected="0">
            <x v="0"/>
          </reference>
          <reference field="11" count="1" selected="0">
            <x v="0"/>
          </reference>
        </references>
      </pivotArea>
    </chartFormat>
    <chartFormat chart="4" format="1" series="1">
      <pivotArea type="data" outline="0" fieldPosition="0">
        <references count="2">
          <reference field="4294967294" count="1" selected="0">
            <x v="0"/>
          </reference>
          <reference field="11" count="1" selected="0">
            <x v="1"/>
          </reference>
        </references>
      </pivotArea>
    </chartFormat>
    <chartFormat chart="4" format="2" series="1">
      <pivotArea type="data" outline="0" fieldPosition="0">
        <references count="2">
          <reference field="4294967294" count="1" selected="0">
            <x v="0"/>
          </reference>
          <reference field="11" count="1" selected="0">
            <x v="2"/>
          </reference>
        </references>
      </pivotArea>
    </chartFormat>
    <chartFormat chart="4" format="3"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2" format="7" series="1">
      <pivotArea type="data" outline="0" fieldPosition="0">
        <references count="2">
          <reference field="4294967294" count="1" selected="0">
            <x v="0"/>
          </reference>
          <reference field="11" count="1" selected="0">
            <x v="0"/>
          </reference>
        </references>
      </pivotArea>
    </chartFormat>
    <chartFormat chart="12" format="8" series="1">
      <pivotArea type="data" outline="0" fieldPosition="0">
        <references count="2">
          <reference field="4294967294" count="1" selected="0">
            <x v="0"/>
          </reference>
          <reference field="11" count="1" selected="0">
            <x v="1"/>
          </reference>
        </references>
      </pivotArea>
    </chartFormat>
    <chartFormat chart="12" format="9" series="1">
      <pivotArea type="data" outline="0" fieldPosition="0">
        <references count="2">
          <reference field="4294967294" count="1" selected="0">
            <x v="0"/>
          </reference>
          <reference field="11" count="1" selected="0">
            <x v="2"/>
          </reference>
        </references>
      </pivotArea>
    </chartFormat>
    <chartFormat chart="13" format="7" series="1">
      <pivotArea type="data" outline="0" fieldPosition="0">
        <references count="2">
          <reference field="4294967294" count="1" selected="0">
            <x v="0"/>
          </reference>
          <reference field="11" count="1" selected="0">
            <x v="0"/>
          </reference>
        </references>
      </pivotArea>
    </chartFormat>
    <chartFormat chart="13" format="8" series="1">
      <pivotArea type="data" outline="0" fieldPosition="0">
        <references count="2">
          <reference field="4294967294" count="1" selected="0">
            <x v="0"/>
          </reference>
          <reference field="11" count="1" selected="0">
            <x v="1"/>
          </reference>
        </references>
      </pivotArea>
    </chartFormat>
    <chartFormat chart="13" format="9" series="1">
      <pivotArea type="data" outline="0" fieldPosition="0">
        <references count="2">
          <reference field="4294967294" count="1" selected="0">
            <x v="0"/>
          </reference>
          <reference field="11" count="1" selected="0">
            <x v="2"/>
          </reference>
        </references>
      </pivotArea>
    </chartFormat>
    <chartFormat chart="14" format="25" series="1">
      <pivotArea type="data" outline="0" fieldPosition="0">
        <references count="2">
          <reference field="4294967294" count="1" selected="0">
            <x v="0"/>
          </reference>
          <reference field="11" count="1" selected="0">
            <x v="0"/>
          </reference>
        </references>
      </pivotArea>
    </chartFormat>
    <chartFormat chart="14" format="26">
      <pivotArea type="data" outline="0" fieldPosition="0">
        <references count="4">
          <reference field="4294967294" count="1" selected="0">
            <x v="0"/>
          </reference>
          <reference field="6" count="1" selected="0">
            <x v="0"/>
          </reference>
          <reference field="11" count="1" selected="0">
            <x v="0"/>
          </reference>
          <reference field="21" count="1" selected="0">
            <x v="1"/>
          </reference>
        </references>
      </pivotArea>
    </chartFormat>
    <chartFormat chart="14" format="27">
      <pivotArea type="data" outline="0" fieldPosition="0">
        <references count="4">
          <reference field="4294967294" count="1" selected="0">
            <x v="0"/>
          </reference>
          <reference field="6" count="1" selected="0">
            <x v="0"/>
          </reference>
          <reference field="11" count="1" selected="0">
            <x v="0"/>
          </reference>
          <reference field="21" count="1" selected="0">
            <x v="2"/>
          </reference>
        </references>
      </pivotArea>
    </chartFormat>
    <chartFormat chart="14" format="28">
      <pivotArea type="data" outline="0" fieldPosition="0">
        <references count="4">
          <reference field="4294967294" count="1" selected="0">
            <x v="0"/>
          </reference>
          <reference field="6" count="1" selected="0">
            <x v="1"/>
          </reference>
          <reference field="11" count="1" selected="0">
            <x v="0"/>
          </reference>
          <reference field="21" count="1" selected="0">
            <x v="1"/>
          </reference>
        </references>
      </pivotArea>
    </chartFormat>
    <chartFormat chart="14" format="29">
      <pivotArea type="data" outline="0" fieldPosition="0">
        <references count="4">
          <reference field="4294967294" count="1" selected="0">
            <x v="0"/>
          </reference>
          <reference field="6" count="1" selected="0">
            <x v="1"/>
          </reference>
          <reference field="11" count="1" selected="0">
            <x v="0"/>
          </reference>
          <reference field="21" count="1" selected="0">
            <x v="2"/>
          </reference>
        </references>
      </pivotArea>
    </chartFormat>
    <chartFormat chart="14" format="30">
      <pivotArea type="data" outline="0" fieldPosition="0">
        <references count="4">
          <reference field="4294967294" count="1" selected="0">
            <x v="0"/>
          </reference>
          <reference field="6" count="1" selected="0">
            <x v="2"/>
          </reference>
          <reference field="11" count="1" selected="0">
            <x v="0"/>
          </reference>
          <reference field="21" count="1" selected="0">
            <x v="1"/>
          </reference>
        </references>
      </pivotArea>
    </chartFormat>
    <chartFormat chart="14" format="31">
      <pivotArea type="data" outline="0" fieldPosition="0">
        <references count="4">
          <reference field="4294967294" count="1" selected="0">
            <x v="0"/>
          </reference>
          <reference field="6" count="1" selected="0">
            <x v="2"/>
          </reference>
          <reference field="11" count="1" selected="0">
            <x v="0"/>
          </reference>
          <reference field="21" count="1" selected="0">
            <x v="2"/>
          </reference>
        </references>
      </pivotArea>
    </chartFormat>
    <chartFormat chart="14" format="32" series="1">
      <pivotArea type="data" outline="0" fieldPosition="0">
        <references count="2">
          <reference field="4294967294" count="1" selected="0">
            <x v="0"/>
          </reference>
          <reference field="11" count="1" selected="0">
            <x v="1"/>
          </reference>
        </references>
      </pivotArea>
    </chartFormat>
    <chartFormat chart="14" format="33">
      <pivotArea type="data" outline="0" fieldPosition="0">
        <references count="4">
          <reference field="4294967294" count="1" selected="0">
            <x v="0"/>
          </reference>
          <reference field="6" count="1" selected="0">
            <x v="0"/>
          </reference>
          <reference field="11" count="1" selected="0">
            <x v="1"/>
          </reference>
          <reference field="21" count="1" selected="0">
            <x v="1"/>
          </reference>
        </references>
      </pivotArea>
    </chartFormat>
    <chartFormat chart="14" format="34">
      <pivotArea type="data" outline="0" fieldPosition="0">
        <references count="4">
          <reference field="4294967294" count="1" selected="0">
            <x v="0"/>
          </reference>
          <reference field="6" count="1" selected="0">
            <x v="0"/>
          </reference>
          <reference field="11" count="1" selected="0">
            <x v="1"/>
          </reference>
          <reference field="21" count="1" selected="0">
            <x v="2"/>
          </reference>
        </references>
      </pivotArea>
    </chartFormat>
    <chartFormat chart="14" format="35">
      <pivotArea type="data" outline="0" fieldPosition="0">
        <references count="4">
          <reference field="4294967294" count="1" selected="0">
            <x v="0"/>
          </reference>
          <reference field="6" count="1" selected="0">
            <x v="1"/>
          </reference>
          <reference field="11" count="1" selected="0">
            <x v="1"/>
          </reference>
          <reference field="21" count="1" selected="0">
            <x v="1"/>
          </reference>
        </references>
      </pivotArea>
    </chartFormat>
    <chartFormat chart="14" format="36">
      <pivotArea type="data" outline="0" fieldPosition="0">
        <references count="4">
          <reference field="4294967294" count="1" selected="0">
            <x v="0"/>
          </reference>
          <reference field="6" count="1" selected="0">
            <x v="1"/>
          </reference>
          <reference field="11" count="1" selected="0">
            <x v="1"/>
          </reference>
          <reference field="21" count="1" selected="0">
            <x v="2"/>
          </reference>
        </references>
      </pivotArea>
    </chartFormat>
    <chartFormat chart="14" format="37">
      <pivotArea type="data" outline="0" fieldPosition="0">
        <references count="4">
          <reference field="4294967294" count="1" selected="0">
            <x v="0"/>
          </reference>
          <reference field="6" count="1" selected="0">
            <x v="2"/>
          </reference>
          <reference field="11" count="1" selected="0">
            <x v="1"/>
          </reference>
          <reference field="21" count="1" selected="0">
            <x v="1"/>
          </reference>
        </references>
      </pivotArea>
    </chartFormat>
    <chartFormat chart="14" format="38">
      <pivotArea type="data" outline="0" fieldPosition="0">
        <references count="4">
          <reference field="4294967294" count="1" selected="0">
            <x v="0"/>
          </reference>
          <reference field="6" count="1" selected="0">
            <x v="2"/>
          </reference>
          <reference field="11" count="1" selected="0">
            <x v="1"/>
          </reference>
          <reference field="21" count="1" selected="0">
            <x v="2"/>
          </reference>
        </references>
      </pivotArea>
    </chartFormat>
    <chartFormat chart="14" format="39" series="1">
      <pivotArea type="data" outline="0" fieldPosition="0">
        <references count="2">
          <reference field="4294967294" count="1" selected="0">
            <x v="0"/>
          </reference>
          <reference field="11" count="1" selected="0">
            <x v="2"/>
          </reference>
        </references>
      </pivotArea>
    </chartFormat>
    <chartFormat chart="14" format="40">
      <pivotArea type="data" outline="0" fieldPosition="0">
        <references count="4">
          <reference field="4294967294" count="1" selected="0">
            <x v="0"/>
          </reference>
          <reference field="6" count="1" selected="0">
            <x v="0"/>
          </reference>
          <reference field="11" count="1" selected="0">
            <x v="2"/>
          </reference>
          <reference field="21" count="1" selected="0">
            <x v="1"/>
          </reference>
        </references>
      </pivotArea>
    </chartFormat>
    <chartFormat chart="14" format="41">
      <pivotArea type="data" outline="0" fieldPosition="0">
        <references count="4">
          <reference field="4294967294" count="1" selected="0">
            <x v="0"/>
          </reference>
          <reference field="6" count="1" selected="0">
            <x v="0"/>
          </reference>
          <reference field="11" count="1" selected="0">
            <x v="2"/>
          </reference>
          <reference field="21" count="1" selected="0">
            <x v="2"/>
          </reference>
        </references>
      </pivotArea>
    </chartFormat>
    <chartFormat chart="14" format="42">
      <pivotArea type="data" outline="0" fieldPosition="0">
        <references count="4">
          <reference field="4294967294" count="1" selected="0">
            <x v="0"/>
          </reference>
          <reference field="6" count="1" selected="0">
            <x v="1"/>
          </reference>
          <reference field="11" count="1" selected="0">
            <x v="2"/>
          </reference>
          <reference field="21" count="1" selected="0">
            <x v="1"/>
          </reference>
        </references>
      </pivotArea>
    </chartFormat>
    <chartFormat chart="14" format="43">
      <pivotArea type="data" outline="0" fieldPosition="0">
        <references count="4">
          <reference field="4294967294" count="1" selected="0">
            <x v="0"/>
          </reference>
          <reference field="6" count="1" selected="0">
            <x v="1"/>
          </reference>
          <reference field="11" count="1" selected="0">
            <x v="2"/>
          </reference>
          <reference field="21" count="1" selected="0">
            <x v="2"/>
          </reference>
        </references>
      </pivotArea>
    </chartFormat>
    <chartFormat chart="14" format="44">
      <pivotArea type="data" outline="0" fieldPosition="0">
        <references count="4">
          <reference field="4294967294" count="1" selected="0">
            <x v="0"/>
          </reference>
          <reference field="6" count="1" selected="0">
            <x v="2"/>
          </reference>
          <reference field="11" count="1" selected="0">
            <x v="2"/>
          </reference>
          <reference field="21" count="1" selected="0">
            <x v="1"/>
          </reference>
        </references>
      </pivotArea>
    </chartFormat>
    <chartFormat chart="14" format="45">
      <pivotArea type="data" outline="0" fieldPosition="0">
        <references count="4">
          <reference field="4294967294" count="1" selected="0">
            <x v="0"/>
          </reference>
          <reference field="6" count="1" selected="0">
            <x v="2"/>
          </reference>
          <reference field="11" count="1" selected="0">
            <x v="2"/>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2F819B-EF81-4700-85A4-24B4AD9446BC}" sourceName="Category">
  <pivotTables>
    <pivotTable tabId="4" name="PivotTable2"/>
  </pivotTables>
  <data>
    <tabular pivotCacheId="41456345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EDCE208-11D3-4F0C-8F53-D7F4084C66F7}" sourceName="Customer_Segment">
  <pivotTables>
    <pivotTable tabId="4" name="PivotTable2"/>
  </pivotTables>
  <data>
    <tabular pivotCacheId="414563459">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B55021D8-87F2-4B4E-8072-B15D24D8A7ED}" sourceName="Quarters (Date)">
  <pivotTables>
    <pivotTable tabId="4" name="PivotTable2"/>
  </pivotTables>
  <data>
    <tabular pivotCacheId="41456345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564DC9A-CF6D-44F6-A6E8-F90935D3CDAA}" cache="Slicer_Category" caption="Category" rowHeight="257175"/>
  <slicer name="Customer_Segment" xr10:uid="{E3E47794-1D8C-47DB-95CE-2DBB110B551D}" cache="Slicer_Customer_Segment" caption="Customer_Segment" rowHeight="257175"/>
  <slicer name="Quarters (Date)" xr10:uid="{20F4ADA3-7118-4622-BBC3-E9C35854ADDE}" cache="Slicer_Quarters__Date" caption="Quarters (Dat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4A42797-ABD3-4BF3-ABCF-56BA5D6F7941}" cache="Slicer_Category" caption="Category" rowHeight="257175"/>
  <slicer name="Customer_Segment 1" xr10:uid="{BE51F832-2CED-494E-8BE8-FB4A63CC94AC}" cache="Slicer_Customer_Segment" caption="Customer_Segment" rowHeight="257175"/>
  <slicer name="Quarters (Date) 1" xr10:uid="{525F21E7-8ECA-4CEF-B42C-4D17439F76F8}" cache="Slicer_Quarters__Date" caption="Quarters (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20153B-5A73-4A50-B512-75D94AFBB1B6}" name="Table1" displayName="Table1" ref="A1:S251" totalsRowShown="0" headerRowDxfId="298">
  <autoFilter ref="A1:S251" xr:uid="{8D20153B-5A73-4A50-B512-75D94AFBB1B6}"/>
  <tableColumns count="19">
    <tableColumn id="1" xr3:uid="{A3BB4F55-948A-47F5-B331-A68BFB094183}" name="Transaction_ID" dataDxfId="313"/>
    <tableColumn id="2" xr3:uid="{E32A1875-39B4-4B92-A533-53780CA71EA6}" name="Date" dataDxfId="312"/>
    <tableColumn id="3" xr3:uid="{65C86ADC-75A9-402C-B68C-7134FFD2294F}" name="Customer_ID" dataDxfId="311"/>
    <tableColumn id="4" xr3:uid="{2B74967E-C470-4183-873E-413A1FF9EDAC}" name="Customer_Name" dataDxfId="310"/>
    <tableColumn id="5" xr3:uid="{BCA18BE9-FC95-40B3-8341-6AFF3A2303BD}" name="Product_ID" dataDxfId="309"/>
    <tableColumn id="6" xr3:uid="{AC7FD6A4-0587-4A72-B7D6-96CFEECF9DA3}" name="Product_Name" dataDxfId="308"/>
    <tableColumn id="7" xr3:uid="{0ED30D14-BC87-4EBE-8360-259429DCE7A2}" name="Category" dataDxfId="307"/>
    <tableColumn id="8" xr3:uid="{EBAAF952-2C10-4F03-8D84-1CC38D0364CF}" name="Quantity" dataDxfId="306"/>
    <tableColumn id="9" xr3:uid="{E276216E-4E67-4F7C-9FEB-3750F2009358}" name="Unit_Price" dataDxfId="305"/>
    <tableColumn id="10" xr3:uid="{D18D1FF7-111B-4124-85AE-9619680EBB88}" name="Payment_Method" dataDxfId="304"/>
    <tableColumn id="11" xr3:uid="{9F1F8E19-2B50-4238-A651-2AD319792AEE}" name="Region" dataDxfId="303"/>
    <tableColumn id="12" xr3:uid="{998A8517-D6EF-4754-8E3B-48C89715576B}" name="Customer_Segment" dataDxfId="302"/>
    <tableColumn id="13" xr3:uid="{696D1903-2AF5-46B9-BB48-86B3AE982BAA}" name="Customer_Since" dataDxfId="301"/>
    <tableColumn id="14" xr3:uid="{C140458A-13B2-4948-9741-CD9835388CE2}" name="Total_Amount" dataDxfId="300"/>
    <tableColumn id="15" xr3:uid="{0F94028C-C84D-4A33-AB20-4C877873E3FD}" name="lookup values" dataDxfId="299"/>
    <tableColumn id="16" xr3:uid="{263D56EF-CE9F-4D53-9CBA-3FBCF7424372}" name="Vlookup">
      <calculatedColumnFormula>VLOOKUP(O2,D1:N251,4,0)</calculatedColumnFormula>
    </tableColumn>
    <tableColumn id="17" xr3:uid="{875E5FE5-D9DA-4C59-A76A-608D32BCA268}" name="index match">
      <calculatedColumnFormula>INDEX(D1:N251,MATCH(O2,D2:$D$251,0),11)</calculatedColumnFormula>
    </tableColumn>
    <tableColumn id="18" xr3:uid="{C3DA0680-5AEB-44A4-B6C0-EB325BA74115}" name="if">
      <calculatedColumnFormula>IF(L2=$L$3,$L$3,"your customer is not "&amp;$L$3&amp;" customer")</calculatedColumnFormula>
    </tableColumn>
    <tableColumn id="19" xr3:uid="{99D27B8F-5DE4-45BA-BF36-FB1C7B1754CE}" name="ifs" dataDxfId="297">
      <calculatedColumnFormula array="1">_xlfn.IFS(L2=$L$2,"he is an "&amp;$L$2&amp;"customer",L2=$L$3,"he is an"&amp;$L$3&amp;"customer",L2=$L$4,"he is an" &amp;$L$4&amp;"customer")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BE51F-993D-485A-83AD-2290CC58723A}">
  <dimension ref="A1:N251"/>
  <sheetViews>
    <sheetView workbookViewId="0">
      <selection activeCell="I2" sqref="I2"/>
    </sheetView>
  </sheetViews>
  <sheetFormatPr defaultRowHeight="15" x14ac:dyDescent="0.25"/>
  <cols>
    <col min="1" max="1" width="14.42578125" bestFit="1" customWidth="1"/>
    <col min="2" max="2" width="10.42578125" bestFit="1" customWidth="1"/>
    <col min="3" max="3" width="12.85546875" bestFit="1" customWidth="1"/>
    <col min="4" max="4" width="16.28515625" bestFit="1" customWidth="1"/>
    <col min="5" max="5" width="10.85546875" bestFit="1" customWidth="1"/>
    <col min="6" max="6" width="14.28515625" bestFit="1" customWidth="1"/>
    <col min="7" max="7" width="10.85546875" bestFit="1" customWidth="1"/>
    <col min="8" max="8" width="8.7109375" bestFit="1" customWidth="1"/>
    <col min="9" max="9" width="10.140625" bestFit="1" customWidth="1"/>
    <col min="10" max="10" width="16.7109375" bestFit="1" customWidth="1"/>
    <col min="11" max="11" width="7.28515625" bestFit="1" customWidth="1"/>
    <col min="12" max="12" width="19.140625" bestFit="1" customWidth="1"/>
    <col min="13" max="13" width="16" bestFit="1" customWidth="1"/>
    <col min="14" max="14" width="13.425781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3">
        <v>45393</v>
      </c>
      <c r="C2" s="2" t="s">
        <v>15</v>
      </c>
      <c r="D2" s="2" t="s">
        <v>16</v>
      </c>
      <c r="E2" s="2" t="s">
        <v>17</v>
      </c>
      <c r="F2" s="2" t="s">
        <v>18</v>
      </c>
      <c r="G2" s="2" t="s">
        <v>19</v>
      </c>
      <c r="H2" s="2">
        <v>3</v>
      </c>
      <c r="I2" s="2">
        <v>249.99</v>
      </c>
      <c r="J2" s="2" t="s">
        <v>20</v>
      </c>
      <c r="K2" s="2" t="s">
        <v>21</v>
      </c>
      <c r="L2" s="2" t="s">
        <v>22</v>
      </c>
      <c r="M2" s="3">
        <v>44425</v>
      </c>
      <c r="N2" s="2">
        <v>749.97</v>
      </c>
    </row>
    <row r="3" spans="1:14" x14ac:dyDescent="0.25">
      <c r="A3" s="2" t="s">
        <v>23</v>
      </c>
      <c r="B3" s="3">
        <v>45396</v>
      </c>
      <c r="C3" s="2" t="s">
        <v>24</v>
      </c>
      <c r="D3" s="2" t="s">
        <v>25</v>
      </c>
      <c r="E3" s="2" t="s">
        <v>17</v>
      </c>
      <c r="F3" s="2" t="s">
        <v>18</v>
      </c>
      <c r="G3" s="2" t="s">
        <v>19</v>
      </c>
      <c r="H3" s="2">
        <v>3</v>
      </c>
      <c r="I3" s="2">
        <v>249.99</v>
      </c>
      <c r="J3" s="2" t="s">
        <v>26</v>
      </c>
      <c r="K3" s="2" t="s">
        <v>21</v>
      </c>
      <c r="L3" s="2" t="s">
        <v>27</v>
      </c>
      <c r="M3" s="3">
        <v>44575</v>
      </c>
      <c r="N3" s="2">
        <v>749.97</v>
      </c>
    </row>
    <row r="4" spans="1:14" x14ac:dyDescent="0.25">
      <c r="A4" s="2" t="s">
        <v>28</v>
      </c>
      <c r="B4" s="3">
        <v>45399</v>
      </c>
      <c r="C4" s="2" t="s">
        <v>29</v>
      </c>
      <c r="D4" s="2" t="s">
        <v>30</v>
      </c>
      <c r="E4" s="2" t="s">
        <v>31</v>
      </c>
      <c r="F4" s="2" t="s">
        <v>32</v>
      </c>
      <c r="G4" s="2" t="s">
        <v>33</v>
      </c>
      <c r="H4" s="2">
        <v>3</v>
      </c>
      <c r="I4" s="2">
        <v>59.99</v>
      </c>
      <c r="J4" s="2" t="s">
        <v>34</v>
      </c>
      <c r="K4" s="2" t="s">
        <v>35</v>
      </c>
      <c r="L4" s="2" t="s">
        <v>36</v>
      </c>
      <c r="M4" s="3">
        <v>45262</v>
      </c>
      <c r="N4" s="2">
        <v>179.97</v>
      </c>
    </row>
    <row r="5" spans="1:14" x14ac:dyDescent="0.25">
      <c r="A5" s="2" t="s">
        <v>37</v>
      </c>
      <c r="B5" s="3">
        <v>45400</v>
      </c>
      <c r="C5" s="2" t="s">
        <v>38</v>
      </c>
      <c r="D5" s="2" t="s">
        <v>39</v>
      </c>
      <c r="E5" s="2" t="s">
        <v>31</v>
      </c>
      <c r="F5" s="2" t="s">
        <v>32</v>
      </c>
      <c r="G5" s="2" t="s">
        <v>33</v>
      </c>
      <c r="H5" s="2">
        <v>3</v>
      </c>
      <c r="I5" s="2">
        <v>59.99</v>
      </c>
      <c r="J5" s="2" t="s">
        <v>20</v>
      </c>
      <c r="K5" s="2" t="s">
        <v>40</v>
      </c>
      <c r="L5" s="2" t="s">
        <v>27</v>
      </c>
      <c r="M5" s="3">
        <v>45114</v>
      </c>
      <c r="N5" s="2">
        <v>179.97</v>
      </c>
    </row>
    <row r="6" spans="1:14" x14ac:dyDescent="0.25">
      <c r="A6" s="2" t="s">
        <v>41</v>
      </c>
      <c r="B6" s="3">
        <v>45400</v>
      </c>
      <c r="C6" s="2" t="s">
        <v>42</v>
      </c>
      <c r="D6" s="2" t="s">
        <v>43</v>
      </c>
      <c r="E6" s="2" t="s">
        <v>44</v>
      </c>
      <c r="F6" s="2" t="s">
        <v>45</v>
      </c>
      <c r="G6" s="2" t="s">
        <v>46</v>
      </c>
      <c r="H6" s="2">
        <v>5</v>
      </c>
      <c r="I6" s="2">
        <v>149.99</v>
      </c>
      <c r="J6" s="2" t="s">
        <v>26</v>
      </c>
      <c r="K6" s="2" t="s">
        <v>40</v>
      </c>
      <c r="L6" s="2" t="s">
        <v>27</v>
      </c>
      <c r="M6" s="3">
        <v>45295</v>
      </c>
      <c r="N6" s="2">
        <v>749.95</v>
      </c>
    </row>
    <row r="7" spans="1:14" x14ac:dyDescent="0.25">
      <c r="A7" s="2" t="s">
        <v>47</v>
      </c>
      <c r="B7" s="3">
        <v>45403</v>
      </c>
      <c r="C7" s="2" t="s">
        <v>48</v>
      </c>
      <c r="D7" s="2" t="s">
        <v>49</v>
      </c>
      <c r="E7" s="2" t="s">
        <v>31</v>
      </c>
      <c r="F7" s="2" t="s">
        <v>32</v>
      </c>
      <c r="G7" s="2" t="s">
        <v>33</v>
      </c>
      <c r="H7" s="2">
        <v>2</v>
      </c>
      <c r="I7" s="2">
        <v>59.99</v>
      </c>
      <c r="J7" s="2" t="s">
        <v>20</v>
      </c>
      <c r="K7" s="2" t="s">
        <v>50</v>
      </c>
      <c r="L7" s="2" t="s">
        <v>36</v>
      </c>
      <c r="M7" s="3">
        <v>44746</v>
      </c>
      <c r="N7" s="2">
        <v>119.98</v>
      </c>
    </row>
    <row r="8" spans="1:14" x14ac:dyDescent="0.25">
      <c r="A8" s="2" t="s">
        <v>51</v>
      </c>
      <c r="B8" s="3">
        <v>45403</v>
      </c>
      <c r="C8" s="2" t="s">
        <v>48</v>
      </c>
      <c r="D8" s="2" t="s">
        <v>49</v>
      </c>
      <c r="E8" s="2" t="s">
        <v>52</v>
      </c>
      <c r="F8" s="2" t="s">
        <v>53</v>
      </c>
      <c r="G8" s="2" t="s">
        <v>19</v>
      </c>
      <c r="H8" s="2">
        <v>5</v>
      </c>
      <c r="I8" s="2">
        <v>149.99</v>
      </c>
      <c r="J8" s="2" t="s">
        <v>26</v>
      </c>
      <c r="K8" s="2" t="s">
        <v>21</v>
      </c>
      <c r="L8" s="2" t="s">
        <v>36</v>
      </c>
      <c r="M8" s="3">
        <v>44418</v>
      </c>
      <c r="N8" s="2">
        <v>749.95</v>
      </c>
    </row>
    <row r="9" spans="1:14" x14ac:dyDescent="0.25">
      <c r="A9" s="2" t="s">
        <v>54</v>
      </c>
      <c r="B9" s="3">
        <v>45403</v>
      </c>
      <c r="C9" s="2" t="s">
        <v>55</v>
      </c>
      <c r="D9" s="2" t="s">
        <v>56</v>
      </c>
      <c r="E9" s="2" t="s">
        <v>31</v>
      </c>
      <c r="F9" s="2" t="s">
        <v>32</v>
      </c>
      <c r="G9" s="2" t="s">
        <v>33</v>
      </c>
      <c r="H9" s="2">
        <v>3</v>
      </c>
      <c r="I9" s="2">
        <v>59.99</v>
      </c>
      <c r="J9" s="2" t="s">
        <v>57</v>
      </c>
      <c r="K9" s="2" t="s">
        <v>35</v>
      </c>
      <c r="L9" s="2" t="s">
        <v>22</v>
      </c>
      <c r="M9" s="3">
        <v>45007</v>
      </c>
      <c r="N9" s="2">
        <v>179.97</v>
      </c>
    </row>
    <row r="10" spans="1:14" x14ac:dyDescent="0.25">
      <c r="A10" s="2" t="s">
        <v>58</v>
      </c>
      <c r="B10" s="3">
        <v>45405</v>
      </c>
      <c r="C10" s="2" t="s">
        <v>59</v>
      </c>
      <c r="D10" s="2" t="s">
        <v>60</v>
      </c>
      <c r="E10" s="2" t="s">
        <v>61</v>
      </c>
      <c r="F10" s="2" t="s">
        <v>62</v>
      </c>
      <c r="G10" s="2" t="s">
        <v>19</v>
      </c>
      <c r="H10" s="2">
        <v>3</v>
      </c>
      <c r="I10" s="2">
        <v>899.99</v>
      </c>
      <c r="J10" s="2" t="s">
        <v>34</v>
      </c>
      <c r="K10" s="2" t="s">
        <v>63</v>
      </c>
      <c r="L10" s="2" t="s">
        <v>36</v>
      </c>
      <c r="M10" s="3">
        <v>45299</v>
      </c>
      <c r="N10" s="2">
        <v>2699.97</v>
      </c>
    </row>
    <row r="11" spans="1:14" x14ac:dyDescent="0.25">
      <c r="A11" s="2" t="s">
        <v>64</v>
      </c>
      <c r="B11" s="3">
        <v>45408</v>
      </c>
      <c r="C11" s="2" t="s">
        <v>65</v>
      </c>
      <c r="D11" s="2" t="s">
        <v>66</v>
      </c>
      <c r="E11" s="2" t="s">
        <v>31</v>
      </c>
      <c r="F11" s="2" t="s">
        <v>32</v>
      </c>
      <c r="G11" s="2" t="s">
        <v>33</v>
      </c>
      <c r="H11" s="2">
        <v>3</v>
      </c>
      <c r="I11" s="2">
        <v>59.99</v>
      </c>
      <c r="J11" s="2" t="s">
        <v>20</v>
      </c>
      <c r="K11" s="2" t="s">
        <v>50</v>
      </c>
      <c r="L11" s="2" t="s">
        <v>27</v>
      </c>
      <c r="M11" s="3">
        <v>45207</v>
      </c>
      <c r="N11" s="2">
        <v>179.97</v>
      </c>
    </row>
    <row r="12" spans="1:14" x14ac:dyDescent="0.25">
      <c r="A12" s="2" t="s">
        <v>67</v>
      </c>
      <c r="B12" s="3">
        <v>45408</v>
      </c>
      <c r="C12" s="2" t="s">
        <v>68</v>
      </c>
      <c r="D12" s="2" t="s">
        <v>69</v>
      </c>
      <c r="E12" s="2" t="s">
        <v>44</v>
      </c>
      <c r="F12" s="2" t="s">
        <v>45</v>
      </c>
      <c r="G12" s="2" t="s">
        <v>46</v>
      </c>
      <c r="H12" s="2">
        <v>1</v>
      </c>
      <c r="I12" s="2">
        <v>149.99</v>
      </c>
      <c r="J12" s="2" t="s">
        <v>26</v>
      </c>
      <c r="K12" s="2" t="s">
        <v>50</v>
      </c>
      <c r="L12" s="2" t="s">
        <v>36</v>
      </c>
      <c r="M12" s="3">
        <v>45103</v>
      </c>
      <c r="N12" s="2">
        <v>149.99</v>
      </c>
    </row>
    <row r="13" spans="1:14" x14ac:dyDescent="0.25">
      <c r="A13" s="2" t="s">
        <v>70</v>
      </c>
      <c r="B13" s="3">
        <v>45408</v>
      </c>
      <c r="C13" s="2" t="s">
        <v>38</v>
      </c>
      <c r="D13" s="2" t="s">
        <v>39</v>
      </c>
      <c r="E13" s="2" t="s">
        <v>44</v>
      </c>
      <c r="F13" s="2" t="s">
        <v>45</v>
      </c>
      <c r="G13" s="2" t="s">
        <v>46</v>
      </c>
      <c r="H13" s="2">
        <v>5</v>
      </c>
      <c r="I13" s="2">
        <v>149.99</v>
      </c>
      <c r="J13" s="2" t="s">
        <v>57</v>
      </c>
      <c r="K13" s="2" t="s">
        <v>40</v>
      </c>
      <c r="L13" s="2" t="s">
        <v>22</v>
      </c>
      <c r="M13" s="3">
        <v>44830</v>
      </c>
      <c r="N13" s="2">
        <v>749.95</v>
      </c>
    </row>
    <row r="14" spans="1:14" x14ac:dyDescent="0.25">
      <c r="A14" s="2" t="s">
        <v>71</v>
      </c>
      <c r="B14" s="3">
        <v>45408</v>
      </c>
      <c r="C14" s="2" t="s">
        <v>72</v>
      </c>
      <c r="D14" s="2" t="s">
        <v>73</v>
      </c>
      <c r="E14" s="2" t="s">
        <v>44</v>
      </c>
      <c r="F14" s="2" t="s">
        <v>45</v>
      </c>
      <c r="G14" s="2" t="s">
        <v>46</v>
      </c>
      <c r="H14" s="2">
        <v>3</v>
      </c>
      <c r="I14" s="2">
        <v>149.99</v>
      </c>
      <c r="J14" s="2" t="s">
        <v>20</v>
      </c>
      <c r="K14" s="2" t="s">
        <v>40</v>
      </c>
      <c r="L14" s="2" t="s">
        <v>27</v>
      </c>
      <c r="M14" s="3">
        <v>44806</v>
      </c>
      <c r="N14" s="2">
        <v>449.97</v>
      </c>
    </row>
    <row r="15" spans="1:14" x14ac:dyDescent="0.25">
      <c r="A15" s="2" t="s">
        <v>74</v>
      </c>
      <c r="B15" s="3">
        <v>45409</v>
      </c>
      <c r="C15" s="2" t="s">
        <v>75</v>
      </c>
      <c r="D15" s="2" t="s">
        <v>76</v>
      </c>
      <c r="E15" s="2" t="s">
        <v>31</v>
      </c>
      <c r="F15" s="2" t="s">
        <v>32</v>
      </c>
      <c r="G15" s="2" t="s">
        <v>33</v>
      </c>
      <c r="H15" s="2">
        <v>3</v>
      </c>
      <c r="I15" s="2">
        <v>59.99</v>
      </c>
      <c r="J15" s="2" t="s">
        <v>26</v>
      </c>
      <c r="K15" s="2" t="s">
        <v>40</v>
      </c>
      <c r="L15" s="2" t="s">
        <v>36</v>
      </c>
      <c r="M15" s="3">
        <v>45351</v>
      </c>
      <c r="N15" s="2">
        <v>179.97</v>
      </c>
    </row>
    <row r="16" spans="1:14" x14ac:dyDescent="0.25">
      <c r="A16" s="2" t="s">
        <v>77</v>
      </c>
      <c r="B16" s="3">
        <v>45409</v>
      </c>
      <c r="C16" s="2" t="s">
        <v>78</v>
      </c>
      <c r="D16" s="2" t="s">
        <v>79</v>
      </c>
      <c r="E16" s="2" t="s">
        <v>80</v>
      </c>
      <c r="F16" s="2" t="s">
        <v>81</v>
      </c>
      <c r="G16" s="2" t="s">
        <v>19</v>
      </c>
      <c r="H16" s="2">
        <v>3</v>
      </c>
      <c r="I16" s="2">
        <v>699.99</v>
      </c>
      <c r="J16" s="2" t="s">
        <v>26</v>
      </c>
      <c r="K16" s="2" t="s">
        <v>50</v>
      </c>
      <c r="L16" s="2" t="s">
        <v>22</v>
      </c>
      <c r="M16" s="3">
        <v>44577</v>
      </c>
      <c r="N16" s="2">
        <v>2099.9699999999998</v>
      </c>
    </row>
    <row r="17" spans="1:14" x14ac:dyDescent="0.25">
      <c r="A17" s="2" t="s">
        <v>82</v>
      </c>
      <c r="B17" s="3">
        <v>45409</v>
      </c>
      <c r="C17" s="2" t="s">
        <v>83</v>
      </c>
      <c r="D17" s="2" t="s">
        <v>84</v>
      </c>
      <c r="E17" s="2" t="s">
        <v>61</v>
      </c>
      <c r="F17" s="2" t="s">
        <v>62</v>
      </c>
      <c r="G17" s="2" t="s">
        <v>19</v>
      </c>
      <c r="H17" s="2">
        <v>1</v>
      </c>
      <c r="I17" s="2">
        <v>899.99</v>
      </c>
      <c r="J17" s="2" t="s">
        <v>57</v>
      </c>
      <c r="K17" s="2" t="s">
        <v>40</v>
      </c>
      <c r="L17" s="2" t="s">
        <v>36</v>
      </c>
      <c r="M17" s="3">
        <v>44920</v>
      </c>
      <c r="N17" s="2">
        <v>899.99</v>
      </c>
    </row>
    <row r="18" spans="1:14" x14ac:dyDescent="0.25">
      <c r="A18" s="2" t="s">
        <v>85</v>
      </c>
      <c r="B18" s="3">
        <v>45410</v>
      </c>
      <c r="C18" s="2" t="s">
        <v>86</v>
      </c>
      <c r="D18" s="2" t="s">
        <v>87</v>
      </c>
      <c r="E18" s="2" t="s">
        <v>44</v>
      </c>
      <c r="F18" s="2" t="s">
        <v>45</v>
      </c>
      <c r="G18" s="2" t="s">
        <v>46</v>
      </c>
      <c r="H18" s="2">
        <v>4</v>
      </c>
      <c r="I18" s="2">
        <v>149.99</v>
      </c>
      <c r="J18" s="2" t="s">
        <v>57</v>
      </c>
      <c r="K18" s="2" t="s">
        <v>40</v>
      </c>
      <c r="L18" s="2" t="s">
        <v>27</v>
      </c>
      <c r="M18" s="3">
        <v>45374</v>
      </c>
      <c r="N18" s="2">
        <v>599.96</v>
      </c>
    </row>
    <row r="19" spans="1:14" x14ac:dyDescent="0.25">
      <c r="A19" s="2" t="s">
        <v>88</v>
      </c>
      <c r="B19" s="3">
        <v>45410</v>
      </c>
      <c r="C19" s="2" t="s">
        <v>89</v>
      </c>
      <c r="D19" s="2" t="s">
        <v>90</v>
      </c>
      <c r="E19" s="2" t="s">
        <v>80</v>
      </c>
      <c r="F19" s="2" t="s">
        <v>81</v>
      </c>
      <c r="G19" s="2" t="s">
        <v>19</v>
      </c>
      <c r="H19" s="2">
        <v>2</v>
      </c>
      <c r="I19" s="2">
        <v>699.99</v>
      </c>
      <c r="J19" s="2" t="s">
        <v>20</v>
      </c>
      <c r="K19" s="2" t="s">
        <v>40</v>
      </c>
      <c r="L19" s="2" t="s">
        <v>22</v>
      </c>
      <c r="M19" s="3">
        <v>44781</v>
      </c>
      <c r="N19" s="2">
        <v>1399.98</v>
      </c>
    </row>
    <row r="20" spans="1:14" x14ac:dyDescent="0.25">
      <c r="A20" s="2" t="s">
        <v>91</v>
      </c>
      <c r="B20" s="3">
        <v>45410</v>
      </c>
      <c r="C20" s="2" t="s">
        <v>86</v>
      </c>
      <c r="D20" s="2" t="s">
        <v>87</v>
      </c>
      <c r="E20" s="2" t="s">
        <v>61</v>
      </c>
      <c r="F20" s="2" t="s">
        <v>62</v>
      </c>
      <c r="G20" s="2" t="s">
        <v>19</v>
      </c>
      <c r="H20" s="2">
        <v>4</v>
      </c>
      <c r="I20" s="2">
        <v>899.99</v>
      </c>
      <c r="J20" s="2" t="s">
        <v>26</v>
      </c>
      <c r="K20" s="2" t="s">
        <v>50</v>
      </c>
      <c r="L20" s="2" t="s">
        <v>36</v>
      </c>
      <c r="M20" s="3">
        <v>45327</v>
      </c>
      <c r="N20" s="2">
        <v>3599.96</v>
      </c>
    </row>
    <row r="21" spans="1:14" x14ac:dyDescent="0.25">
      <c r="A21" s="2" t="s">
        <v>92</v>
      </c>
      <c r="B21" s="3">
        <v>45410</v>
      </c>
      <c r="C21" s="2" t="s">
        <v>93</v>
      </c>
      <c r="D21" s="2" t="s">
        <v>94</v>
      </c>
      <c r="E21" s="2" t="s">
        <v>17</v>
      </c>
      <c r="F21" s="2" t="s">
        <v>18</v>
      </c>
      <c r="G21" s="2" t="s">
        <v>19</v>
      </c>
      <c r="H21" s="2">
        <v>3</v>
      </c>
      <c r="I21" s="2">
        <v>249.99</v>
      </c>
      <c r="J21" s="2" t="s">
        <v>26</v>
      </c>
      <c r="K21" s="2" t="s">
        <v>40</v>
      </c>
      <c r="L21" s="2" t="s">
        <v>27</v>
      </c>
      <c r="M21" s="3">
        <v>45224</v>
      </c>
      <c r="N21" s="2">
        <v>749.97</v>
      </c>
    </row>
    <row r="22" spans="1:14" x14ac:dyDescent="0.25">
      <c r="A22" s="2" t="s">
        <v>95</v>
      </c>
      <c r="B22" s="3">
        <v>45412</v>
      </c>
      <c r="C22" s="2" t="s">
        <v>96</v>
      </c>
      <c r="D22" s="2" t="s">
        <v>97</v>
      </c>
      <c r="E22" s="2" t="s">
        <v>80</v>
      </c>
      <c r="F22" s="2" t="s">
        <v>81</v>
      </c>
      <c r="G22" s="2" t="s">
        <v>19</v>
      </c>
      <c r="H22" s="2">
        <v>5</v>
      </c>
      <c r="I22" s="2">
        <v>699.99</v>
      </c>
      <c r="J22" s="2" t="s">
        <v>20</v>
      </c>
      <c r="K22" s="2" t="s">
        <v>50</v>
      </c>
      <c r="L22" s="2" t="s">
        <v>22</v>
      </c>
      <c r="M22" s="3">
        <v>45167</v>
      </c>
      <c r="N22" s="2">
        <v>3499.95</v>
      </c>
    </row>
    <row r="23" spans="1:14" x14ac:dyDescent="0.25">
      <c r="A23" s="2" t="s">
        <v>98</v>
      </c>
      <c r="B23" s="3">
        <v>45413</v>
      </c>
      <c r="C23" s="2" t="s">
        <v>99</v>
      </c>
      <c r="D23" s="2" t="s">
        <v>100</v>
      </c>
      <c r="E23" s="2" t="s">
        <v>80</v>
      </c>
      <c r="F23" s="2" t="s">
        <v>81</v>
      </c>
      <c r="G23" s="2" t="s">
        <v>19</v>
      </c>
      <c r="H23" s="2">
        <v>4</v>
      </c>
      <c r="I23" s="2">
        <v>699.99</v>
      </c>
      <c r="J23" s="2" t="s">
        <v>20</v>
      </c>
      <c r="K23" s="2" t="s">
        <v>63</v>
      </c>
      <c r="L23" s="2" t="s">
        <v>36</v>
      </c>
      <c r="M23" s="3">
        <v>44409</v>
      </c>
      <c r="N23" s="2">
        <v>2799.96</v>
      </c>
    </row>
    <row r="24" spans="1:14" x14ac:dyDescent="0.25">
      <c r="A24" s="2" t="s">
        <v>101</v>
      </c>
      <c r="B24" s="3">
        <v>45415</v>
      </c>
      <c r="C24" s="2" t="s">
        <v>102</v>
      </c>
      <c r="D24" s="2" t="s">
        <v>103</v>
      </c>
      <c r="E24" s="2" t="s">
        <v>17</v>
      </c>
      <c r="F24" s="2" t="s">
        <v>18</v>
      </c>
      <c r="G24" s="2" t="s">
        <v>19</v>
      </c>
      <c r="H24" s="2">
        <v>4</v>
      </c>
      <c r="I24" s="2">
        <v>249.99</v>
      </c>
      <c r="J24" s="2" t="s">
        <v>34</v>
      </c>
      <c r="K24" s="2" t="s">
        <v>40</v>
      </c>
      <c r="L24" s="2" t="s">
        <v>36</v>
      </c>
      <c r="M24" s="3">
        <v>44468</v>
      </c>
      <c r="N24" s="2">
        <v>999.96</v>
      </c>
    </row>
    <row r="25" spans="1:14" x14ac:dyDescent="0.25">
      <c r="A25" s="2" t="s">
        <v>104</v>
      </c>
      <c r="B25" s="3">
        <v>45416</v>
      </c>
      <c r="C25" s="2" t="s">
        <v>86</v>
      </c>
      <c r="D25" s="2" t="s">
        <v>87</v>
      </c>
      <c r="E25" s="2" t="s">
        <v>105</v>
      </c>
      <c r="F25" s="2" t="s">
        <v>106</v>
      </c>
      <c r="G25" s="2" t="s">
        <v>46</v>
      </c>
      <c r="H25" s="2">
        <v>4</v>
      </c>
      <c r="I25" s="2">
        <v>299.99</v>
      </c>
      <c r="J25" s="2" t="s">
        <v>20</v>
      </c>
      <c r="K25" s="2" t="s">
        <v>50</v>
      </c>
      <c r="L25" s="2" t="s">
        <v>27</v>
      </c>
      <c r="M25" s="3">
        <v>44716</v>
      </c>
      <c r="N25" s="2">
        <v>1199.96</v>
      </c>
    </row>
    <row r="26" spans="1:14" x14ac:dyDescent="0.25">
      <c r="A26" s="2" t="s">
        <v>107</v>
      </c>
      <c r="B26" s="3">
        <v>45422</v>
      </c>
      <c r="C26" s="2" t="s">
        <v>108</v>
      </c>
      <c r="D26" s="2" t="s">
        <v>109</v>
      </c>
      <c r="E26" s="2" t="s">
        <v>17</v>
      </c>
      <c r="F26" s="2" t="s">
        <v>18</v>
      </c>
      <c r="G26" s="2" t="s">
        <v>19</v>
      </c>
      <c r="H26" s="2">
        <v>5</v>
      </c>
      <c r="I26" s="2">
        <v>249.99</v>
      </c>
      <c r="J26" s="2" t="s">
        <v>26</v>
      </c>
      <c r="K26" s="2" t="s">
        <v>50</v>
      </c>
      <c r="L26" s="2" t="s">
        <v>36</v>
      </c>
      <c r="M26" s="3">
        <v>44525</v>
      </c>
      <c r="N26" s="2">
        <v>1249.95</v>
      </c>
    </row>
    <row r="27" spans="1:14" x14ac:dyDescent="0.25">
      <c r="A27" s="2" t="s">
        <v>110</v>
      </c>
      <c r="B27" s="3">
        <v>45424</v>
      </c>
      <c r="C27" s="2" t="s">
        <v>68</v>
      </c>
      <c r="D27" s="2" t="s">
        <v>69</v>
      </c>
      <c r="E27" s="2" t="s">
        <v>105</v>
      </c>
      <c r="F27" s="2" t="s">
        <v>106</v>
      </c>
      <c r="G27" s="2" t="s">
        <v>46</v>
      </c>
      <c r="H27" s="2">
        <v>5</v>
      </c>
      <c r="I27" s="2">
        <v>299.99</v>
      </c>
      <c r="J27" s="2" t="s">
        <v>34</v>
      </c>
      <c r="K27" s="2" t="s">
        <v>63</v>
      </c>
      <c r="L27" s="2" t="s">
        <v>22</v>
      </c>
      <c r="M27" s="3">
        <v>45168</v>
      </c>
      <c r="N27" s="2">
        <v>1499.95</v>
      </c>
    </row>
    <row r="28" spans="1:14" x14ac:dyDescent="0.25">
      <c r="A28" s="2" t="s">
        <v>111</v>
      </c>
      <c r="B28" s="3">
        <v>45424</v>
      </c>
      <c r="C28" s="2" t="s">
        <v>112</v>
      </c>
      <c r="D28" s="2" t="s">
        <v>113</v>
      </c>
      <c r="E28" s="2" t="s">
        <v>114</v>
      </c>
      <c r="F28" s="2" t="s">
        <v>115</v>
      </c>
      <c r="G28" s="2" t="s">
        <v>33</v>
      </c>
      <c r="H28" s="2">
        <v>3</v>
      </c>
      <c r="I28" s="2">
        <v>79.989999999999995</v>
      </c>
      <c r="J28" s="2" t="s">
        <v>34</v>
      </c>
      <c r="K28" s="2" t="s">
        <v>63</v>
      </c>
      <c r="L28" s="2" t="s">
        <v>27</v>
      </c>
      <c r="M28" s="3">
        <v>45012</v>
      </c>
      <c r="N28" s="2">
        <v>239.97</v>
      </c>
    </row>
    <row r="29" spans="1:14" x14ac:dyDescent="0.25">
      <c r="A29" s="2" t="s">
        <v>116</v>
      </c>
      <c r="B29" s="3">
        <v>45424</v>
      </c>
      <c r="C29" s="2" t="s">
        <v>99</v>
      </c>
      <c r="D29" s="2" t="s">
        <v>100</v>
      </c>
      <c r="E29" s="2" t="s">
        <v>117</v>
      </c>
      <c r="F29" s="2" t="s">
        <v>118</v>
      </c>
      <c r="G29" s="2" t="s">
        <v>19</v>
      </c>
      <c r="H29" s="2">
        <v>5</v>
      </c>
      <c r="I29" s="2">
        <v>89.99</v>
      </c>
      <c r="J29" s="2" t="s">
        <v>20</v>
      </c>
      <c r="K29" s="2" t="s">
        <v>40</v>
      </c>
      <c r="L29" s="2" t="s">
        <v>27</v>
      </c>
      <c r="M29" s="3">
        <v>44919</v>
      </c>
      <c r="N29" s="2">
        <v>449.95</v>
      </c>
    </row>
    <row r="30" spans="1:14" x14ac:dyDescent="0.25">
      <c r="A30" s="2" t="s">
        <v>119</v>
      </c>
      <c r="B30" s="3">
        <v>45425</v>
      </c>
      <c r="C30" s="2" t="s">
        <v>120</v>
      </c>
      <c r="D30" s="2" t="s">
        <v>121</v>
      </c>
      <c r="E30" s="2" t="s">
        <v>31</v>
      </c>
      <c r="F30" s="2" t="s">
        <v>32</v>
      </c>
      <c r="G30" s="2" t="s">
        <v>33</v>
      </c>
      <c r="H30" s="2">
        <v>2</v>
      </c>
      <c r="I30" s="2">
        <v>59.99</v>
      </c>
      <c r="J30" s="2" t="s">
        <v>57</v>
      </c>
      <c r="K30" s="2" t="s">
        <v>21</v>
      </c>
      <c r="L30" s="2" t="s">
        <v>36</v>
      </c>
      <c r="M30" s="3">
        <v>45214</v>
      </c>
      <c r="N30" s="2">
        <v>119.98</v>
      </c>
    </row>
    <row r="31" spans="1:14" x14ac:dyDescent="0.25">
      <c r="A31" s="2" t="s">
        <v>122</v>
      </c>
      <c r="B31" s="3">
        <v>45427</v>
      </c>
      <c r="C31" s="2" t="s">
        <v>123</v>
      </c>
      <c r="D31" s="2" t="s">
        <v>124</v>
      </c>
      <c r="E31" s="2" t="s">
        <v>31</v>
      </c>
      <c r="F31" s="2" t="s">
        <v>32</v>
      </c>
      <c r="G31" s="2" t="s">
        <v>33</v>
      </c>
      <c r="H31" s="2">
        <v>4</v>
      </c>
      <c r="I31" s="2">
        <v>59.99</v>
      </c>
      <c r="J31" s="2" t="s">
        <v>57</v>
      </c>
      <c r="K31" s="2" t="s">
        <v>63</v>
      </c>
      <c r="L31" s="2" t="s">
        <v>36</v>
      </c>
      <c r="M31" s="3">
        <v>44867</v>
      </c>
      <c r="N31" s="2">
        <v>239.96</v>
      </c>
    </row>
    <row r="32" spans="1:14" x14ac:dyDescent="0.25">
      <c r="A32" s="2" t="s">
        <v>125</v>
      </c>
      <c r="B32" s="3">
        <v>45427</v>
      </c>
      <c r="C32" s="2" t="s">
        <v>55</v>
      </c>
      <c r="D32" s="2" t="s">
        <v>56</v>
      </c>
      <c r="E32" s="2" t="s">
        <v>126</v>
      </c>
      <c r="F32" s="2" t="s">
        <v>127</v>
      </c>
      <c r="G32" s="2" t="s">
        <v>46</v>
      </c>
      <c r="H32" s="2">
        <v>5</v>
      </c>
      <c r="I32" s="2">
        <v>199.99</v>
      </c>
      <c r="J32" s="2" t="s">
        <v>20</v>
      </c>
      <c r="K32" s="2" t="s">
        <v>35</v>
      </c>
      <c r="L32" s="2" t="s">
        <v>36</v>
      </c>
      <c r="M32" s="3">
        <v>44412</v>
      </c>
      <c r="N32" s="2">
        <v>999.95</v>
      </c>
    </row>
    <row r="33" spans="1:14" x14ac:dyDescent="0.25">
      <c r="A33" s="2" t="s">
        <v>128</v>
      </c>
      <c r="B33" s="3">
        <v>45428</v>
      </c>
      <c r="C33" s="2" t="s">
        <v>129</v>
      </c>
      <c r="D33" s="2" t="s">
        <v>130</v>
      </c>
      <c r="E33" s="2" t="s">
        <v>44</v>
      </c>
      <c r="F33" s="2" t="s">
        <v>45</v>
      </c>
      <c r="G33" s="2" t="s">
        <v>46</v>
      </c>
      <c r="H33" s="2">
        <v>2</v>
      </c>
      <c r="I33" s="2">
        <v>149.99</v>
      </c>
      <c r="J33" s="2" t="s">
        <v>26</v>
      </c>
      <c r="K33" s="2" t="s">
        <v>50</v>
      </c>
      <c r="L33" s="2" t="s">
        <v>22</v>
      </c>
      <c r="M33" s="3">
        <v>44823</v>
      </c>
      <c r="N33" s="2">
        <v>299.98</v>
      </c>
    </row>
    <row r="34" spans="1:14" x14ac:dyDescent="0.25">
      <c r="A34" s="2" t="s">
        <v>131</v>
      </c>
      <c r="B34" s="3">
        <v>45430</v>
      </c>
      <c r="C34" s="2" t="s">
        <v>132</v>
      </c>
      <c r="D34" s="2" t="s">
        <v>133</v>
      </c>
      <c r="E34" s="2" t="s">
        <v>44</v>
      </c>
      <c r="F34" s="2" t="s">
        <v>45</v>
      </c>
      <c r="G34" s="2" t="s">
        <v>46</v>
      </c>
      <c r="H34" s="2">
        <v>3</v>
      </c>
      <c r="I34" s="2">
        <v>149.99</v>
      </c>
      <c r="J34" s="2" t="s">
        <v>26</v>
      </c>
      <c r="K34" s="2" t="s">
        <v>50</v>
      </c>
      <c r="L34" s="2" t="s">
        <v>27</v>
      </c>
      <c r="M34" s="3">
        <v>45068</v>
      </c>
      <c r="N34" s="2">
        <v>449.97</v>
      </c>
    </row>
    <row r="35" spans="1:14" x14ac:dyDescent="0.25">
      <c r="A35" s="2" t="s">
        <v>134</v>
      </c>
      <c r="B35" s="3">
        <v>45432</v>
      </c>
      <c r="C35" s="2" t="s">
        <v>29</v>
      </c>
      <c r="D35" s="2" t="s">
        <v>30</v>
      </c>
      <c r="E35" s="2" t="s">
        <v>61</v>
      </c>
      <c r="F35" s="2" t="s">
        <v>62</v>
      </c>
      <c r="G35" s="2" t="s">
        <v>19</v>
      </c>
      <c r="H35" s="2">
        <v>1</v>
      </c>
      <c r="I35" s="2">
        <v>899.99</v>
      </c>
      <c r="J35" s="2" t="s">
        <v>26</v>
      </c>
      <c r="K35" s="2" t="s">
        <v>50</v>
      </c>
      <c r="L35" s="2" t="s">
        <v>27</v>
      </c>
      <c r="M35" s="3">
        <v>44578</v>
      </c>
      <c r="N35" s="2">
        <v>899.99</v>
      </c>
    </row>
    <row r="36" spans="1:14" x14ac:dyDescent="0.25">
      <c r="A36" s="2" t="s">
        <v>135</v>
      </c>
      <c r="B36" s="3">
        <v>45434</v>
      </c>
      <c r="C36" s="2" t="s">
        <v>99</v>
      </c>
      <c r="D36" s="2" t="s">
        <v>100</v>
      </c>
      <c r="E36" s="2" t="s">
        <v>105</v>
      </c>
      <c r="F36" s="2" t="s">
        <v>106</v>
      </c>
      <c r="G36" s="2" t="s">
        <v>46</v>
      </c>
      <c r="H36" s="2">
        <v>3</v>
      </c>
      <c r="I36" s="2">
        <v>299.99</v>
      </c>
      <c r="J36" s="2" t="s">
        <v>26</v>
      </c>
      <c r="K36" s="2" t="s">
        <v>63</v>
      </c>
      <c r="L36" s="2" t="s">
        <v>22</v>
      </c>
      <c r="M36" s="3">
        <v>44824</v>
      </c>
      <c r="N36" s="2">
        <v>899.97</v>
      </c>
    </row>
    <row r="37" spans="1:14" x14ac:dyDescent="0.25">
      <c r="A37" s="2" t="s">
        <v>136</v>
      </c>
      <c r="B37" s="3">
        <v>45435</v>
      </c>
      <c r="C37" s="2" t="s">
        <v>129</v>
      </c>
      <c r="D37" s="2" t="s">
        <v>130</v>
      </c>
      <c r="E37" s="2" t="s">
        <v>114</v>
      </c>
      <c r="F37" s="2" t="s">
        <v>115</v>
      </c>
      <c r="G37" s="2" t="s">
        <v>33</v>
      </c>
      <c r="H37" s="2">
        <v>3</v>
      </c>
      <c r="I37" s="2">
        <v>79.989999999999995</v>
      </c>
      <c r="J37" s="2" t="s">
        <v>20</v>
      </c>
      <c r="K37" s="2" t="s">
        <v>35</v>
      </c>
      <c r="L37" s="2" t="s">
        <v>22</v>
      </c>
      <c r="M37" s="3">
        <v>45046</v>
      </c>
      <c r="N37" s="2">
        <v>239.97</v>
      </c>
    </row>
    <row r="38" spans="1:14" x14ac:dyDescent="0.25">
      <c r="A38" s="2" t="s">
        <v>137</v>
      </c>
      <c r="B38" s="3">
        <v>45438</v>
      </c>
      <c r="C38" s="2" t="s">
        <v>138</v>
      </c>
      <c r="D38" s="2" t="s">
        <v>139</v>
      </c>
      <c r="E38" s="2" t="s">
        <v>126</v>
      </c>
      <c r="F38" s="2" t="s">
        <v>127</v>
      </c>
      <c r="G38" s="2" t="s">
        <v>46</v>
      </c>
      <c r="H38" s="2">
        <v>3</v>
      </c>
      <c r="I38" s="2">
        <v>199.99</v>
      </c>
      <c r="J38" s="2" t="s">
        <v>26</v>
      </c>
      <c r="K38" s="2" t="s">
        <v>40</v>
      </c>
      <c r="L38" s="2" t="s">
        <v>27</v>
      </c>
      <c r="M38" s="3">
        <v>45292</v>
      </c>
      <c r="N38" s="2">
        <v>599.97</v>
      </c>
    </row>
    <row r="39" spans="1:14" x14ac:dyDescent="0.25">
      <c r="A39" s="2" t="s">
        <v>140</v>
      </c>
      <c r="B39" s="3">
        <v>45440</v>
      </c>
      <c r="C39" s="2" t="s">
        <v>141</v>
      </c>
      <c r="D39" s="2" t="s">
        <v>142</v>
      </c>
      <c r="E39" s="2" t="s">
        <v>80</v>
      </c>
      <c r="F39" s="2" t="s">
        <v>81</v>
      </c>
      <c r="G39" s="2" t="s">
        <v>19</v>
      </c>
      <c r="H39" s="2">
        <v>5</v>
      </c>
      <c r="I39" s="2">
        <v>699.99</v>
      </c>
      <c r="J39" s="2" t="s">
        <v>34</v>
      </c>
      <c r="K39" s="2" t="s">
        <v>50</v>
      </c>
      <c r="L39" s="2" t="s">
        <v>36</v>
      </c>
      <c r="M39" s="3">
        <v>44407</v>
      </c>
      <c r="N39" s="2">
        <v>3499.95</v>
      </c>
    </row>
    <row r="40" spans="1:14" x14ac:dyDescent="0.25">
      <c r="A40" s="2" t="s">
        <v>143</v>
      </c>
      <c r="B40" s="3">
        <v>45441</v>
      </c>
      <c r="C40" s="2" t="s">
        <v>144</v>
      </c>
      <c r="D40" s="2" t="s">
        <v>145</v>
      </c>
      <c r="E40" s="2" t="s">
        <v>117</v>
      </c>
      <c r="F40" s="2" t="s">
        <v>118</v>
      </c>
      <c r="G40" s="2" t="s">
        <v>19</v>
      </c>
      <c r="H40" s="2">
        <v>3</v>
      </c>
      <c r="I40" s="2">
        <v>89.99</v>
      </c>
      <c r="J40" s="2" t="s">
        <v>34</v>
      </c>
      <c r="K40" s="2" t="s">
        <v>21</v>
      </c>
      <c r="L40" s="2" t="s">
        <v>27</v>
      </c>
      <c r="M40" s="3">
        <v>45120</v>
      </c>
      <c r="N40" s="2">
        <v>269.97000000000003</v>
      </c>
    </row>
    <row r="41" spans="1:14" x14ac:dyDescent="0.25">
      <c r="A41" s="2" t="s">
        <v>146</v>
      </c>
      <c r="B41" s="3">
        <v>45443</v>
      </c>
      <c r="C41" s="2" t="s">
        <v>147</v>
      </c>
      <c r="D41" s="2" t="s">
        <v>148</v>
      </c>
      <c r="E41" s="2" t="s">
        <v>114</v>
      </c>
      <c r="F41" s="2" t="s">
        <v>115</v>
      </c>
      <c r="G41" s="2" t="s">
        <v>33</v>
      </c>
      <c r="H41" s="2">
        <v>1</v>
      </c>
      <c r="I41" s="2">
        <v>79.989999999999995</v>
      </c>
      <c r="J41" s="2" t="s">
        <v>20</v>
      </c>
      <c r="K41" s="2" t="s">
        <v>40</v>
      </c>
      <c r="L41" s="2" t="s">
        <v>36</v>
      </c>
      <c r="M41" s="3">
        <v>44917</v>
      </c>
      <c r="N41" s="2">
        <v>79.989999999999995</v>
      </c>
    </row>
    <row r="42" spans="1:14" x14ac:dyDescent="0.25">
      <c r="A42" s="2" t="s">
        <v>149</v>
      </c>
      <c r="B42" s="3">
        <v>45444</v>
      </c>
      <c r="C42" s="2" t="s">
        <v>150</v>
      </c>
      <c r="D42" s="2" t="s">
        <v>151</v>
      </c>
      <c r="E42" s="2" t="s">
        <v>31</v>
      </c>
      <c r="F42" s="2" t="s">
        <v>32</v>
      </c>
      <c r="G42" s="2" t="s">
        <v>33</v>
      </c>
      <c r="H42" s="2">
        <v>2</v>
      </c>
      <c r="I42" s="2">
        <v>59.99</v>
      </c>
      <c r="J42" s="2" t="s">
        <v>20</v>
      </c>
      <c r="K42" s="2" t="s">
        <v>50</v>
      </c>
      <c r="L42" s="2" t="s">
        <v>22</v>
      </c>
      <c r="M42" s="3">
        <v>45390</v>
      </c>
      <c r="N42" s="2">
        <v>119.98</v>
      </c>
    </row>
    <row r="43" spans="1:14" x14ac:dyDescent="0.25">
      <c r="A43" s="2" t="s">
        <v>152</v>
      </c>
      <c r="B43" s="3">
        <v>45444</v>
      </c>
      <c r="C43" s="2" t="s">
        <v>55</v>
      </c>
      <c r="D43" s="2" t="s">
        <v>56</v>
      </c>
      <c r="E43" s="2" t="s">
        <v>117</v>
      </c>
      <c r="F43" s="2" t="s">
        <v>118</v>
      </c>
      <c r="G43" s="2" t="s">
        <v>19</v>
      </c>
      <c r="H43" s="2">
        <v>1</v>
      </c>
      <c r="I43" s="2">
        <v>89.99</v>
      </c>
      <c r="J43" s="2" t="s">
        <v>20</v>
      </c>
      <c r="K43" s="2" t="s">
        <v>40</v>
      </c>
      <c r="L43" s="2" t="s">
        <v>22</v>
      </c>
      <c r="M43" s="3">
        <v>45141</v>
      </c>
      <c r="N43" s="2">
        <v>89.99</v>
      </c>
    </row>
    <row r="44" spans="1:14" x14ac:dyDescent="0.25">
      <c r="A44" s="2" t="s">
        <v>153</v>
      </c>
      <c r="B44" s="3">
        <v>45446</v>
      </c>
      <c r="C44" s="2" t="s">
        <v>154</v>
      </c>
      <c r="D44" s="2" t="s">
        <v>155</v>
      </c>
      <c r="E44" s="2" t="s">
        <v>117</v>
      </c>
      <c r="F44" s="2" t="s">
        <v>118</v>
      </c>
      <c r="G44" s="2" t="s">
        <v>19</v>
      </c>
      <c r="H44" s="2">
        <v>5</v>
      </c>
      <c r="I44" s="2">
        <v>89.99</v>
      </c>
      <c r="J44" s="2" t="s">
        <v>26</v>
      </c>
      <c r="K44" s="2" t="s">
        <v>63</v>
      </c>
      <c r="L44" s="2" t="s">
        <v>36</v>
      </c>
      <c r="M44" s="3">
        <v>44587</v>
      </c>
      <c r="N44" s="2">
        <v>449.95</v>
      </c>
    </row>
    <row r="45" spans="1:14" x14ac:dyDescent="0.25">
      <c r="A45" s="2" t="s">
        <v>156</v>
      </c>
      <c r="B45" s="3">
        <v>45449</v>
      </c>
      <c r="C45" s="2" t="s">
        <v>24</v>
      </c>
      <c r="D45" s="2" t="s">
        <v>25</v>
      </c>
      <c r="E45" s="2" t="s">
        <v>17</v>
      </c>
      <c r="F45" s="2" t="s">
        <v>18</v>
      </c>
      <c r="G45" s="2" t="s">
        <v>19</v>
      </c>
      <c r="H45" s="2">
        <v>5</v>
      </c>
      <c r="I45" s="2">
        <v>249.99</v>
      </c>
      <c r="J45" s="2" t="s">
        <v>26</v>
      </c>
      <c r="K45" s="2" t="s">
        <v>63</v>
      </c>
      <c r="L45" s="2" t="s">
        <v>36</v>
      </c>
      <c r="M45" s="3">
        <v>44707</v>
      </c>
      <c r="N45" s="2">
        <v>1249.95</v>
      </c>
    </row>
    <row r="46" spans="1:14" x14ac:dyDescent="0.25">
      <c r="A46" s="2" t="s">
        <v>157</v>
      </c>
      <c r="B46" s="3">
        <v>45449</v>
      </c>
      <c r="C46" s="2" t="s">
        <v>158</v>
      </c>
      <c r="D46" s="2" t="s">
        <v>159</v>
      </c>
      <c r="E46" s="2" t="s">
        <v>117</v>
      </c>
      <c r="F46" s="2" t="s">
        <v>118</v>
      </c>
      <c r="G46" s="2" t="s">
        <v>19</v>
      </c>
      <c r="H46" s="2">
        <v>1</v>
      </c>
      <c r="I46" s="2">
        <v>89.99</v>
      </c>
      <c r="J46" s="2" t="s">
        <v>26</v>
      </c>
      <c r="K46" s="2" t="s">
        <v>35</v>
      </c>
      <c r="L46" s="2" t="s">
        <v>36</v>
      </c>
      <c r="M46" s="3">
        <v>44582</v>
      </c>
      <c r="N46" s="2">
        <v>89.99</v>
      </c>
    </row>
    <row r="47" spans="1:14" x14ac:dyDescent="0.25">
      <c r="A47" s="2" t="s">
        <v>160</v>
      </c>
      <c r="B47" s="3">
        <v>45450</v>
      </c>
      <c r="C47" s="2" t="s">
        <v>42</v>
      </c>
      <c r="D47" s="2" t="s">
        <v>43</v>
      </c>
      <c r="E47" s="2" t="s">
        <v>44</v>
      </c>
      <c r="F47" s="2" t="s">
        <v>45</v>
      </c>
      <c r="G47" s="2" t="s">
        <v>46</v>
      </c>
      <c r="H47" s="2">
        <v>2</v>
      </c>
      <c r="I47" s="2">
        <v>149.99</v>
      </c>
      <c r="J47" s="2" t="s">
        <v>20</v>
      </c>
      <c r="K47" s="2" t="s">
        <v>63</v>
      </c>
      <c r="L47" s="2" t="s">
        <v>27</v>
      </c>
      <c r="M47" s="3">
        <v>44645</v>
      </c>
      <c r="N47" s="2">
        <v>299.98</v>
      </c>
    </row>
    <row r="48" spans="1:14" x14ac:dyDescent="0.25">
      <c r="A48" s="2" t="s">
        <v>161</v>
      </c>
      <c r="B48" s="3">
        <v>45452</v>
      </c>
      <c r="C48" s="2" t="s">
        <v>162</v>
      </c>
      <c r="D48" s="2" t="s">
        <v>163</v>
      </c>
      <c r="E48" s="2" t="s">
        <v>31</v>
      </c>
      <c r="F48" s="2" t="s">
        <v>32</v>
      </c>
      <c r="G48" s="2" t="s">
        <v>33</v>
      </c>
      <c r="H48" s="2">
        <v>4</v>
      </c>
      <c r="I48" s="2">
        <v>59.99</v>
      </c>
      <c r="J48" s="2" t="s">
        <v>20</v>
      </c>
      <c r="K48" s="2" t="s">
        <v>63</v>
      </c>
      <c r="L48" s="2" t="s">
        <v>36</v>
      </c>
      <c r="M48" s="3">
        <v>44435</v>
      </c>
      <c r="N48" s="2">
        <v>239.96</v>
      </c>
    </row>
    <row r="49" spans="1:14" x14ac:dyDescent="0.25">
      <c r="A49" s="2" t="s">
        <v>164</v>
      </c>
      <c r="B49" s="3">
        <v>45456</v>
      </c>
      <c r="C49" s="2" t="s">
        <v>129</v>
      </c>
      <c r="D49" s="2" t="s">
        <v>130</v>
      </c>
      <c r="E49" s="2" t="s">
        <v>117</v>
      </c>
      <c r="F49" s="2" t="s">
        <v>118</v>
      </c>
      <c r="G49" s="2" t="s">
        <v>19</v>
      </c>
      <c r="H49" s="2">
        <v>5</v>
      </c>
      <c r="I49" s="2">
        <v>89.99</v>
      </c>
      <c r="J49" s="2" t="s">
        <v>20</v>
      </c>
      <c r="K49" s="2" t="s">
        <v>21</v>
      </c>
      <c r="L49" s="2" t="s">
        <v>27</v>
      </c>
      <c r="M49" s="3">
        <v>44579</v>
      </c>
      <c r="N49" s="2">
        <v>449.95</v>
      </c>
    </row>
    <row r="50" spans="1:14" x14ac:dyDescent="0.25">
      <c r="A50" s="2" t="s">
        <v>165</v>
      </c>
      <c r="B50" s="3">
        <v>45459</v>
      </c>
      <c r="C50" s="2" t="s">
        <v>99</v>
      </c>
      <c r="D50" s="2" t="s">
        <v>100</v>
      </c>
      <c r="E50" s="2" t="s">
        <v>117</v>
      </c>
      <c r="F50" s="2" t="s">
        <v>118</v>
      </c>
      <c r="G50" s="2" t="s">
        <v>19</v>
      </c>
      <c r="H50" s="2">
        <v>2</v>
      </c>
      <c r="I50" s="2">
        <v>89.99</v>
      </c>
      <c r="J50" s="2" t="s">
        <v>26</v>
      </c>
      <c r="K50" s="2" t="s">
        <v>35</v>
      </c>
      <c r="L50" s="2" t="s">
        <v>27</v>
      </c>
      <c r="M50" s="3">
        <v>44471</v>
      </c>
      <c r="N50" s="2">
        <v>179.98</v>
      </c>
    </row>
    <row r="51" spans="1:14" x14ac:dyDescent="0.25">
      <c r="A51" s="2" t="s">
        <v>166</v>
      </c>
      <c r="B51" s="3">
        <v>45459</v>
      </c>
      <c r="C51" s="2" t="s">
        <v>15</v>
      </c>
      <c r="D51" s="2" t="s">
        <v>16</v>
      </c>
      <c r="E51" s="2" t="s">
        <v>61</v>
      </c>
      <c r="F51" s="2" t="s">
        <v>62</v>
      </c>
      <c r="G51" s="2" t="s">
        <v>19</v>
      </c>
      <c r="H51" s="2">
        <v>5</v>
      </c>
      <c r="I51" s="2">
        <v>899.99</v>
      </c>
      <c r="J51" s="2" t="s">
        <v>26</v>
      </c>
      <c r="K51" s="2" t="s">
        <v>35</v>
      </c>
      <c r="L51" s="2" t="s">
        <v>36</v>
      </c>
      <c r="M51" s="3">
        <v>44974</v>
      </c>
      <c r="N51" s="2">
        <v>4499.95</v>
      </c>
    </row>
    <row r="52" spans="1:14" x14ac:dyDescent="0.25">
      <c r="A52" s="2" t="s">
        <v>167</v>
      </c>
      <c r="B52" s="3">
        <v>45459</v>
      </c>
      <c r="C52" s="2" t="s">
        <v>123</v>
      </c>
      <c r="D52" s="2" t="s">
        <v>124</v>
      </c>
      <c r="E52" s="2" t="s">
        <v>61</v>
      </c>
      <c r="F52" s="2" t="s">
        <v>62</v>
      </c>
      <c r="G52" s="2" t="s">
        <v>19</v>
      </c>
      <c r="H52" s="2">
        <v>5</v>
      </c>
      <c r="I52" s="2">
        <v>899.99</v>
      </c>
      <c r="J52" s="2" t="s">
        <v>34</v>
      </c>
      <c r="K52" s="2" t="s">
        <v>63</v>
      </c>
      <c r="L52" s="2" t="s">
        <v>27</v>
      </c>
      <c r="M52" s="3">
        <v>45278</v>
      </c>
      <c r="N52" s="2">
        <v>4499.95</v>
      </c>
    </row>
    <row r="53" spans="1:14" x14ac:dyDescent="0.25">
      <c r="A53" s="2" t="s">
        <v>168</v>
      </c>
      <c r="B53" s="3">
        <v>45460</v>
      </c>
      <c r="C53" s="2" t="s">
        <v>158</v>
      </c>
      <c r="D53" s="2" t="s">
        <v>159</v>
      </c>
      <c r="E53" s="2" t="s">
        <v>31</v>
      </c>
      <c r="F53" s="2" t="s">
        <v>32</v>
      </c>
      <c r="G53" s="2" t="s">
        <v>33</v>
      </c>
      <c r="H53" s="2">
        <v>1</v>
      </c>
      <c r="I53" s="2">
        <v>59.99</v>
      </c>
      <c r="J53" s="2" t="s">
        <v>57</v>
      </c>
      <c r="K53" s="2" t="s">
        <v>50</v>
      </c>
      <c r="L53" s="2" t="s">
        <v>27</v>
      </c>
      <c r="M53" s="3">
        <v>45190</v>
      </c>
      <c r="N53" s="2">
        <v>59.99</v>
      </c>
    </row>
    <row r="54" spans="1:14" x14ac:dyDescent="0.25">
      <c r="A54" s="2" t="s">
        <v>169</v>
      </c>
      <c r="B54" s="3">
        <v>45460</v>
      </c>
      <c r="C54" s="2" t="s">
        <v>141</v>
      </c>
      <c r="D54" s="2" t="s">
        <v>142</v>
      </c>
      <c r="E54" s="2" t="s">
        <v>105</v>
      </c>
      <c r="F54" s="2" t="s">
        <v>106</v>
      </c>
      <c r="G54" s="2" t="s">
        <v>46</v>
      </c>
      <c r="H54" s="2">
        <v>2</v>
      </c>
      <c r="I54" s="2">
        <v>299.99</v>
      </c>
      <c r="J54" s="2" t="s">
        <v>57</v>
      </c>
      <c r="K54" s="2" t="s">
        <v>63</v>
      </c>
      <c r="L54" s="2" t="s">
        <v>36</v>
      </c>
      <c r="M54" s="3">
        <v>45253</v>
      </c>
      <c r="N54" s="2">
        <v>599.98</v>
      </c>
    </row>
    <row r="55" spans="1:14" x14ac:dyDescent="0.25">
      <c r="A55" s="2" t="s">
        <v>170</v>
      </c>
      <c r="B55" s="3">
        <v>45468</v>
      </c>
      <c r="C55" s="2" t="s">
        <v>171</v>
      </c>
      <c r="D55" s="2" t="s">
        <v>172</v>
      </c>
      <c r="E55" s="2" t="s">
        <v>117</v>
      </c>
      <c r="F55" s="2" t="s">
        <v>118</v>
      </c>
      <c r="G55" s="2" t="s">
        <v>19</v>
      </c>
      <c r="H55" s="2">
        <v>4</v>
      </c>
      <c r="I55" s="2">
        <v>89.99</v>
      </c>
      <c r="J55" s="2" t="s">
        <v>57</v>
      </c>
      <c r="K55" s="2" t="s">
        <v>35</v>
      </c>
      <c r="L55" s="2" t="s">
        <v>22</v>
      </c>
      <c r="M55" s="3">
        <v>45281</v>
      </c>
      <c r="N55" s="2">
        <v>359.96</v>
      </c>
    </row>
    <row r="56" spans="1:14" x14ac:dyDescent="0.25">
      <c r="A56" s="2" t="s">
        <v>173</v>
      </c>
      <c r="B56" s="3">
        <v>45469</v>
      </c>
      <c r="C56" s="2" t="s">
        <v>29</v>
      </c>
      <c r="D56" s="2" t="s">
        <v>30</v>
      </c>
      <c r="E56" s="2" t="s">
        <v>114</v>
      </c>
      <c r="F56" s="2" t="s">
        <v>115</v>
      </c>
      <c r="G56" s="2" t="s">
        <v>33</v>
      </c>
      <c r="H56" s="2">
        <v>1</v>
      </c>
      <c r="I56" s="2">
        <v>79.989999999999995</v>
      </c>
      <c r="J56" s="2" t="s">
        <v>34</v>
      </c>
      <c r="K56" s="2" t="s">
        <v>21</v>
      </c>
      <c r="L56" s="2" t="s">
        <v>27</v>
      </c>
      <c r="M56" s="3">
        <v>45352</v>
      </c>
      <c r="N56" s="2">
        <v>79.989999999999995</v>
      </c>
    </row>
    <row r="57" spans="1:14" x14ac:dyDescent="0.25">
      <c r="A57" s="2" t="s">
        <v>174</v>
      </c>
      <c r="B57" s="3">
        <v>45469</v>
      </c>
      <c r="C57" s="2" t="s">
        <v>59</v>
      </c>
      <c r="D57" s="2" t="s">
        <v>60</v>
      </c>
      <c r="E57" s="2" t="s">
        <v>117</v>
      </c>
      <c r="F57" s="2" t="s">
        <v>118</v>
      </c>
      <c r="G57" s="2" t="s">
        <v>19</v>
      </c>
      <c r="H57" s="2">
        <v>2</v>
      </c>
      <c r="I57" s="2">
        <v>89.99</v>
      </c>
      <c r="J57" s="2" t="s">
        <v>20</v>
      </c>
      <c r="K57" s="2" t="s">
        <v>50</v>
      </c>
      <c r="L57" s="2" t="s">
        <v>22</v>
      </c>
      <c r="M57" s="3">
        <v>44438</v>
      </c>
      <c r="N57" s="2">
        <v>179.98</v>
      </c>
    </row>
    <row r="58" spans="1:14" x14ac:dyDescent="0.25">
      <c r="A58" s="2" t="s">
        <v>175</v>
      </c>
      <c r="B58" s="3">
        <v>45471</v>
      </c>
      <c r="C58" s="2" t="s">
        <v>38</v>
      </c>
      <c r="D58" s="2" t="s">
        <v>39</v>
      </c>
      <c r="E58" s="2" t="s">
        <v>80</v>
      </c>
      <c r="F58" s="2" t="s">
        <v>81</v>
      </c>
      <c r="G58" s="2" t="s">
        <v>19</v>
      </c>
      <c r="H58" s="2">
        <v>3</v>
      </c>
      <c r="I58" s="2">
        <v>699.99</v>
      </c>
      <c r="J58" s="2" t="s">
        <v>26</v>
      </c>
      <c r="K58" s="2" t="s">
        <v>63</v>
      </c>
      <c r="L58" s="2" t="s">
        <v>27</v>
      </c>
      <c r="M58" s="3">
        <v>45102</v>
      </c>
      <c r="N58" s="2">
        <v>2099.9699999999998</v>
      </c>
    </row>
    <row r="59" spans="1:14" x14ac:dyDescent="0.25">
      <c r="A59" s="2" t="s">
        <v>176</v>
      </c>
      <c r="B59" s="3">
        <v>45471</v>
      </c>
      <c r="C59" s="2" t="s">
        <v>99</v>
      </c>
      <c r="D59" s="2" t="s">
        <v>100</v>
      </c>
      <c r="E59" s="2" t="s">
        <v>61</v>
      </c>
      <c r="F59" s="2" t="s">
        <v>62</v>
      </c>
      <c r="G59" s="2" t="s">
        <v>19</v>
      </c>
      <c r="H59" s="2">
        <v>4</v>
      </c>
      <c r="I59" s="2">
        <v>899.99</v>
      </c>
      <c r="J59" s="2" t="s">
        <v>26</v>
      </c>
      <c r="K59" s="2" t="s">
        <v>63</v>
      </c>
      <c r="L59" s="2" t="s">
        <v>27</v>
      </c>
      <c r="M59" s="3">
        <v>44993</v>
      </c>
      <c r="N59" s="2">
        <v>3599.96</v>
      </c>
    </row>
    <row r="60" spans="1:14" x14ac:dyDescent="0.25">
      <c r="A60" s="2" t="s">
        <v>177</v>
      </c>
      <c r="B60" s="3">
        <v>45472</v>
      </c>
      <c r="C60" s="2" t="s">
        <v>120</v>
      </c>
      <c r="D60" s="2" t="s">
        <v>121</v>
      </c>
      <c r="E60" s="2" t="s">
        <v>44</v>
      </c>
      <c r="F60" s="2" t="s">
        <v>45</v>
      </c>
      <c r="G60" s="2" t="s">
        <v>46</v>
      </c>
      <c r="H60" s="2">
        <v>1</v>
      </c>
      <c r="I60" s="2">
        <v>149.99</v>
      </c>
      <c r="J60" s="2" t="s">
        <v>34</v>
      </c>
      <c r="K60" s="2" t="s">
        <v>63</v>
      </c>
      <c r="L60" s="2" t="s">
        <v>22</v>
      </c>
      <c r="M60" s="3">
        <v>44851</v>
      </c>
      <c r="N60" s="2">
        <v>149.99</v>
      </c>
    </row>
    <row r="61" spans="1:14" x14ac:dyDescent="0.25">
      <c r="A61" s="2" t="s">
        <v>178</v>
      </c>
      <c r="B61" s="3">
        <v>45474</v>
      </c>
      <c r="C61" s="2" t="s">
        <v>132</v>
      </c>
      <c r="D61" s="2" t="s">
        <v>133</v>
      </c>
      <c r="E61" s="2" t="s">
        <v>117</v>
      </c>
      <c r="F61" s="2" t="s">
        <v>118</v>
      </c>
      <c r="G61" s="2" t="s">
        <v>19</v>
      </c>
      <c r="H61" s="2">
        <v>2</v>
      </c>
      <c r="I61" s="2">
        <v>89.99</v>
      </c>
      <c r="J61" s="2" t="s">
        <v>34</v>
      </c>
      <c r="K61" s="2" t="s">
        <v>21</v>
      </c>
      <c r="L61" s="2" t="s">
        <v>27</v>
      </c>
      <c r="M61" s="3">
        <v>45275</v>
      </c>
      <c r="N61" s="2">
        <v>179.98</v>
      </c>
    </row>
    <row r="62" spans="1:14" x14ac:dyDescent="0.25">
      <c r="A62" s="2" t="s">
        <v>179</v>
      </c>
      <c r="B62" s="3">
        <v>45475</v>
      </c>
      <c r="C62" s="2" t="s">
        <v>55</v>
      </c>
      <c r="D62" s="2" t="s">
        <v>56</v>
      </c>
      <c r="E62" s="2" t="s">
        <v>117</v>
      </c>
      <c r="F62" s="2" t="s">
        <v>118</v>
      </c>
      <c r="G62" s="2" t="s">
        <v>19</v>
      </c>
      <c r="H62" s="2">
        <v>1</v>
      </c>
      <c r="I62" s="2">
        <v>89.99</v>
      </c>
      <c r="J62" s="2" t="s">
        <v>34</v>
      </c>
      <c r="K62" s="2" t="s">
        <v>50</v>
      </c>
      <c r="L62" s="2" t="s">
        <v>36</v>
      </c>
      <c r="M62" s="3">
        <v>44802</v>
      </c>
      <c r="N62" s="2">
        <v>89.99</v>
      </c>
    </row>
    <row r="63" spans="1:14" x14ac:dyDescent="0.25">
      <c r="A63" s="2" t="s">
        <v>180</v>
      </c>
      <c r="B63" s="3">
        <v>45476</v>
      </c>
      <c r="C63" s="2" t="s">
        <v>68</v>
      </c>
      <c r="D63" s="2" t="s">
        <v>69</v>
      </c>
      <c r="E63" s="2" t="s">
        <v>117</v>
      </c>
      <c r="F63" s="2" t="s">
        <v>118</v>
      </c>
      <c r="G63" s="2" t="s">
        <v>19</v>
      </c>
      <c r="H63" s="2">
        <v>1</v>
      </c>
      <c r="I63" s="2">
        <v>89.99</v>
      </c>
      <c r="J63" s="2" t="s">
        <v>20</v>
      </c>
      <c r="K63" s="2" t="s">
        <v>35</v>
      </c>
      <c r="L63" s="2" t="s">
        <v>36</v>
      </c>
      <c r="M63" s="3">
        <v>44611</v>
      </c>
      <c r="N63" s="2">
        <v>89.99</v>
      </c>
    </row>
    <row r="64" spans="1:14" x14ac:dyDescent="0.25">
      <c r="A64" s="2" t="s">
        <v>181</v>
      </c>
      <c r="B64" s="3">
        <v>45476</v>
      </c>
      <c r="C64" s="2" t="s">
        <v>182</v>
      </c>
      <c r="D64" s="2" t="s">
        <v>183</v>
      </c>
      <c r="E64" s="2" t="s">
        <v>114</v>
      </c>
      <c r="F64" s="2" t="s">
        <v>115</v>
      </c>
      <c r="G64" s="2" t="s">
        <v>33</v>
      </c>
      <c r="H64" s="2">
        <v>5</v>
      </c>
      <c r="I64" s="2">
        <v>79.989999999999995</v>
      </c>
      <c r="J64" s="2" t="s">
        <v>57</v>
      </c>
      <c r="K64" s="2" t="s">
        <v>21</v>
      </c>
      <c r="L64" s="2" t="s">
        <v>22</v>
      </c>
      <c r="M64" s="3">
        <v>44981</v>
      </c>
      <c r="N64" s="2">
        <v>399.95</v>
      </c>
    </row>
    <row r="65" spans="1:14" x14ac:dyDescent="0.25">
      <c r="A65" s="2" t="s">
        <v>184</v>
      </c>
      <c r="B65" s="3">
        <v>45481</v>
      </c>
      <c r="C65" s="2" t="s">
        <v>185</v>
      </c>
      <c r="D65" s="2" t="s">
        <v>186</v>
      </c>
      <c r="E65" s="2" t="s">
        <v>44</v>
      </c>
      <c r="F65" s="2" t="s">
        <v>45</v>
      </c>
      <c r="G65" s="2" t="s">
        <v>46</v>
      </c>
      <c r="H65" s="2">
        <v>1</v>
      </c>
      <c r="I65" s="2">
        <v>149.99</v>
      </c>
      <c r="J65" s="2" t="s">
        <v>34</v>
      </c>
      <c r="K65" s="2" t="s">
        <v>40</v>
      </c>
      <c r="L65" s="2" t="s">
        <v>22</v>
      </c>
      <c r="M65" s="3">
        <v>44421</v>
      </c>
      <c r="N65" s="2">
        <v>149.99</v>
      </c>
    </row>
    <row r="66" spans="1:14" x14ac:dyDescent="0.25">
      <c r="A66" s="2" t="s">
        <v>187</v>
      </c>
      <c r="B66" s="3">
        <v>45481</v>
      </c>
      <c r="C66" s="2" t="s">
        <v>42</v>
      </c>
      <c r="D66" s="2" t="s">
        <v>43</v>
      </c>
      <c r="E66" s="2" t="s">
        <v>80</v>
      </c>
      <c r="F66" s="2" t="s">
        <v>81</v>
      </c>
      <c r="G66" s="2" t="s">
        <v>19</v>
      </c>
      <c r="H66" s="2">
        <v>2</v>
      </c>
      <c r="I66" s="2">
        <v>699.99</v>
      </c>
      <c r="J66" s="2" t="s">
        <v>34</v>
      </c>
      <c r="K66" s="2" t="s">
        <v>63</v>
      </c>
      <c r="L66" s="2" t="s">
        <v>27</v>
      </c>
      <c r="M66" s="3">
        <v>45389</v>
      </c>
      <c r="N66" s="2">
        <v>1399.98</v>
      </c>
    </row>
    <row r="67" spans="1:14" x14ac:dyDescent="0.25">
      <c r="A67" s="2" t="s">
        <v>188</v>
      </c>
      <c r="B67" s="3">
        <v>45481</v>
      </c>
      <c r="C67" s="2" t="s">
        <v>96</v>
      </c>
      <c r="D67" s="2" t="s">
        <v>97</v>
      </c>
      <c r="E67" s="2" t="s">
        <v>117</v>
      </c>
      <c r="F67" s="2" t="s">
        <v>118</v>
      </c>
      <c r="G67" s="2" t="s">
        <v>19</v>
      </c>
      <c r="H67" s="2">
        <v>5</v>
      </c>
      <c r="I67" s="2">
        <v>89.99</v>
      </c>
      <c r="J67" s="2" t="s">
        <v>57</v>
      </c>
      <c r="K67" s="2" t="s">
        <v>40</v>
      </c>
      <c r="L67" s="2" t="s">
        <v>27</v>
      </c>
      <c r="M67" s="3">
        <v>45161</v>
      </c>
      <c r="N67" s="2">
        <v>449.95</v>
      </c>
    </row>
    <row r="68" spans="1:14" x14ac:dyDescent="0.25">
      <c r="A68" s="2" t="s">
        <v>189</v>
      </c>
      <c r="B68" s="3">
        <v>45482</v>
      </c>
      <c r="C68" s="2" t="s">
        <v>171</v>
      </c>
      <c r="D68" s="2" t="s">
        <v>172</v>
      </c>
      <c r="E68" s="2" t="s">
        <v>31</v>
      </c>
      <c r="F68" s="2" t="s">
        <v>32</v>
      </c>
      <c r="G68" s="2" t="s">
        <v>33</v>
      </c>
      <c r="H68" s="2">
        <v>4</v>
      </c>
      <c r="I68" s="2">
        <v>59.99</v>
      </c>
      <c r="J68" s="2" t="s">
        <v>20</v>
      </c>
      <c r="K68" s="2" t="s">
        <v>35</v>
      </c>
      <c r="L68" s="2" t="s">
        <v>36</v>
      </c>
      <c r="M68" s="3">
        <v>44509</v>
      </c>
      <c r="N68" s="2">
        <v>239.96</v>
      </c>
    </row>
    <row r="69" spans="1:14" x14ac:dyDescent="0.25">
      <c r="A69" s="2" t="s">
        <v>190</v>
      </c>
      <c r="B69" s="3">
        <v>45484</v>
      </c>
      <c r="C69" s="2" t="s">
        <v>24</v>
      </c>
      <c r="D69" s="2" t="s">
        <v>25</v>
      </c>
      <c r="E69" s="2" t="s">
        <v>52</v>
      </c>
      <c r="F69" s="2" t="s">
        <v>53</v>
      </c>
      <c r="G69" s="2" t="s">
        <v>19</v>
      </c>
      <c r="H69" s="2">
        <v>1</v>
      </c>
      <c r="I69" s="2">
        <v>149.99</v>
      </c>
      <c r="J69" s="2" t="s">
        <v>20</v>
      </c>
      <c r="K69" s="2" t="s">
        <v>21</v>
      </c>
      <c r="L69" s="2" t="s">
        <v>36</v>
      </c>
      <c r="M69" s="3">
        <v>44909</v>
      </c>
      <c r="N69" s="2">
        <v>149.99</v>
      </c>
    </row>
    <row r="70" spans="1:14" x14ac:dyDescent="0.25">
      <c r="A70" s="2" t="s">
        <v>191</v>
      </c>
      <c r="B70" s="3">
        <v>45484</v>
      </c>
      <c r="C70" s="2" t="s">
        <v>192</v>
      </c>
      <c r="D70" s="2" t="s">
        <v>193</v>
      </c>
      <c r="E70" s="2" t="s">
        <v>105</v>
      </c>
      <c r="F70" s="2" t="s">
        <v>106</v>
      </c>
      <c r="G70" s="2" t="s">
        <v>46</v>
      </c>
      <c r="H70" s="2">
        <v>1</v>
      </c>
      <c r="I70" s="2">
        <v>299.99</v>
      </c>
      <c r="J70" s="2" t="s">
        <v>26</v>
      </c>
      <c r="K70" s="2" t="s">
        <v>40</v>
      </c>
      <c r="L70" s="2" t="s">
        <v>27</v>
      </c>
      <c r="M70" s="3">
        <v>44891</v>
      </c>
      <c r="N70" s="2">
        <v>299.99</v>
      </c>
    </row>
    <row r="71" spans="1:14" x14ac:dyDescent="0.25">
      <c r="A71" s="2" t="s">
        <v>194</v>
      </c>
      <c r="B71" s="3">
        <v>45487</v>
      </c>
      <c r="C71" s="2" t="s">
        <v>192</v>
      </c>
      <c r="D71" s="2" t="s">
        <v>193</v>
      </c>
      <c r="E71" s="2" t="s">
        <v>126</v>
      </c>
      <c r="F71" s="2" t="s">
        <v>127</v>
      </c>
      <c r="G71" s="2" t="s">
        <v>46</v>
      </c>
      <c r="H71" s="2">
        <v>2</v>
      </c>
      <c r="I71" s="2">
        <v>199.99</v>
      </c>
      <c r="J71" s="2" t="s">
        <v>20</v>
      </c>
      <c r="K71" s="2" t="s">
        <v>40</v>
      </c>
      <c r="L71" s="2" t="s">
        <v>22</v>
      </c>
      <c r="M71" s="3">
        <v>44541</v>
      </c>
      <c r="N71" s="2">
        <v>399.98</v>
      </c>
    </row>
    <row r="72" spans="1:14" x14ac:dyDescent="0.25">
      <c r="A72" s="2" t="s">
        <v>195</v>
      </c>
      <c r="B72" s="3">
        <v>45490</v>
      </c>
      <c r="C72" s="2" t="s">
        <v>196</v>
      </c>
      <c r="D72" s="2" t="s">
        <v>197</v>
      </c>
      <c r="E72" s="2" t="s">
        <v>31</v>
      </c>
      <c r="F72" s="2" t="s">
        <v>32</v>
      </c>
      <c r="G72" s="2" t="s">
        <v>33</v>
      </c>
      <c r="H72" s="2">
        <v>3</v>
      </c>
      <c r="I72" s="2">
        <v>59.99</v>
      </c>
      <c r="J72" s="2" t="s">
        <v>26</v>
      </c>
      <c r="K72" s="2" t="s">
        <v>50</v>
      </c>
      <c r="L72" s="2" t="s">
        <v>22</v>
      </c>
      <c r="M72" s="3">
        <v>45130</v>
      </c>
      <c r="N72" s="2">
        <v>179.97</v>
      </c>
    </row>
    <row r="73" spans="1:14" x14ac:dyDescent="0.25">
      <c r="A73" s="2" t="s">
        <v>198</v>
      </c>
      <c r="B73" s="3">
        <v>45490</v>
      </c>
      <c r="C73" s="2" t="s">
        <v>72</v>
      </c>
      <c r="D73" s="2" t="s">
        <v>73</v>
      </c>
      <c r="E73" s="2" t="s">
        <v>44</v>
      </c>
      <c r="F73" s="2" t="s">
        <v>45</v>
      </c>
      <c r="G73" s="2" t="s">
        <v>46</v>
      </c>
      <c r="H73" s="2">
        <v>3</v>
      </c>
      <c r="I73" s="2">
        <v>149.99</v>
      </c>
      <c r="J73" s="2" t="s">
        <v>20</v>
      </c>
      <c r="K73" s="2" t="s">
        <v>21</v>
      </c>
      <c r="L73" s="2" t="s">
        <v>27</v>
      </c>
      <c r="M73" s="3">
        <v>45199</v>
      </c>
      <c r="N73" s="2">
        <v>449.97</v>
      </c>
    </row>
    <row r="74" spans="1:14" x14ac:dyDescent="0.25">
      <c r="A74" s="2" t="s">
        <v>199</v>
      </c>
      <c r="B74" s="3">
        <v>45491</v>
      </c>
      <c r="C74" s="2" t="s">
        <v>65</v>
      </c>
      <c r="D74" s="2" t="s">
        <v>66</v>
      </c>
      <c r="E74" s="2" t="s">
        <v>126</v>
      </c>
      <c r="F74" s="2" t="s">
        <v>127</v>
      </c>
      <c r="G74" s="2" t="s">
        <v>46</v>
      </c>
      <c r="H74" s="2">
        <v>3</v>
      </c>
      <c r="I74" s="2">
        <v>199.99</v>
      </c>
      <c r="J74" s="2" t="s">
        <v>20</v>
      </c>
      <c r="K74" s="2" t="s">
        <v>40</v>
      </c>
      <c r="L74" s="2" t="s">
        <v>27</v>
      </c>
      <c r="M74" s="3">
        <v>45254</v>
      </c>
      <c r="N74" s="2">
        <v>599.97</v>
      </c>
    </row>
    <row r="75" spans="1:14" x14ac:dyDescent="0.25">
      <c r="A75" s="2" t="s">
        <v>200</v>
      </c>
      <c r="B75" s="3">
        <v>45496</v>
      </c>
      <c r="C75" s="2" t="s">
        <v>150</v>
      </c>
      <c r="D75" s="2" t="s">
        <v>151</v>
      </c>
      <c r="E75" s="2" t="s">
        <v>61</v>
      </c>
      <c r="F75" s="2" t="s">
        <v>62</v>
      </c>
      <c r="G75" s="2" t="s">
        <v>19</v>
      </c>
      <c r="H75" s="2">
        <v>1</v>
      </c>
      <c r="I75" s="2">
        <v>899.99</v>
      </c>
      <c r="J75" s="2" t="s">
        <v>20</v>
      </c>
      <c r="K75" s="2" t="s">
        <v>21</v>
      </c>
      <c r="L75" s="2" t="s">
        <v>36</v>
      </c>
      <c r="M75" s="3">
        <v>45179</v>
      </c>
      <c r="N75" s="2">
        <v>899.99</v>
      </c>
    </row>
    <row r="76" spans="1:14" x14ac:dyDescent="0.25">
      <c r="A76" s="2" t="s">
        <v>201</v>
      </c>
      <c r="B76" s="3">
        <v>45497</v>
      </c>
      <c r="C76" s="2" t="s">
        <v>24</v>
      </c>
      <c r="D76" s="2" t="s">
        <v>25</v>
      </c>
      <c r="E76" s="2" t="s">
        <v>61</v>
      </c>
      <c r="F76" s="2" t="s">
        <v>62</v>
      </c>
      <c r="G76" s="2" t="s">
        <v>19</v>
      </c>
      <c r="H76" s="2">
        <v>5</v>
      </c>
      <c r="I76" s="2">
        <v>899.99</v>
      </c>
      <c r="J76" s="2" t="s">
        <v>57</v>
      </c>
      <c r="K76" s="2" t="s">
        <v>35</v>
      </c>
      <c r="L76" s="2" t="s">
        <v>36</v>
      </c>
      <c r="M76" s="3">
        <v>44899</v>
      </c>
      <c r="N76" s="2">
        <v>4499.95</v>
      </c>
    </row>
    <row r="77" spans="1:14" x14ac:dyDescent="0.25">
      <c r="A77" s="2" t="s">
        <v>202</v>
      </c>
      <c r="B77" s="3">
        <v>45498</v>
      </c>
      <c r="C77" s="2" t="s">
        <v>182</v>
      </c>
      <c r="D77" s="2" t="s">
        <v>183</v>
      </c>
      <c r="E77" s="2" t="s">
        <v>31</v>
      </c>
      <c r="F77" s="2" t="s">
        <v>32</v>
      </c>
      <c r="G77" s="2" t="s">
        <v>33</v>
      </c>
      <c r="H77" s="2">
        <v>2</v>
      </c>
      <c r="I77" s="2">
        <v>59.99</v>
      </c>
      <c r="J77" s="2" t="s">
        <v>20</v>
      </c>
      <c r="K77" s="2" t="s">
        <v>40</v>
      </c>
      <c r="L77" s="2" t="s">
        <v>36</v>
      </c>
      <c r="M77" s="3">
        <v>45152</v>
      </c>
      <c r="N77" s="2">
        <v>119.98</v>
      </c>
    </row>
    <row r="78" spans="1:14" x14ac:dyDescent="0.25">
      <c r="A78" s="2" t="s">
        <v>203</v>
      </c>
      <c r="B78" s="3">
        <v>45498</v>
      </c>
      <c r="C78" s="2" t="s">
        <v>196</v>
      </c>
      <c r="D78" s="2" t="s">
        <v>197</v>
      </c>
      <c r="E78" s="2" t="s">
        <v>17</v>
      </c>
      <c r="F78" s="2" t="s">
        <v>18</v>
      </c>
      <c r="G78" s="2" t="s">
        <v>19</v>
      </c>
      <c r="H78" s="2">
        <v>4</v>
      </c>
      <c r="I78" s="2">
        <v>249.99</v>
      </c>
      <c r="J78" s="2" t="s">
        <v>57</v>
      </c>
      <c r="K78" s="2" t="s">
        <v>21</v>
      </c>
      <c r="L78" s="2" t="s">
        <v>36</v>
      </c>
      <c r="M78" s="3">
        <v>45127</v>
      </c>
      <c r="N78" s="2">
        <v>999.96</v>
      </c>
    </row>
    <row r="79" spans="1:14" x14ac:dyDescent="0.25">
      <c r="A79" s="2" t="s">
        <v>204</v>
      </c>
      <c r="B79" s="3">
        <v>45500</v>
      </c>
      <c r="C79" s="2" t="s">
        <v>96</v>
      </c>
      <c r="D79" s="2" t="s">
        <v>97</v>
      </c>
      <c r="E79" s="2" t="s">
        <v>17</v>
      </c>
      <c r="F79" s="2" t="s">
        <v>18</v>
      </c>
      <c r="G79" s="2" t="s">
        <v>19</v>
      </c>
      <c r="H79" s="2">
        <v>2</v>
      </c>
      <c r="I79" s="2">
        <v>249.99</v>
      </c>
      <c r="J79" s="2" t="s">
        <v>20</v>
      </c>
      <c r="K79" s="2" t="s">
        <v>40</v>
      </c>
      <c r="L79" s="2" t="s">
        <v>27</v>
      </c>
      <c r="M79" s="3">
        <v>45164</v>
      </c>
      <c r="N79" s="2">
        <v>499.98</v>
      </c>
    </row>
    <row r="80" spans="1:14" x14ac:dyDescent="0.25">
      <c r="A80" s="2" t="s">
        <v>205</v>
      </c>
      <c r="B80" s="3">
        <v>45500</v>
      </c>
      <c r="C80" s="2" t="s">
        <v>147</v>
      </c>
      <c r="D80" s="2" t="s">
        <v>148</v>
      </c>
      <c r="E80" s="2" t="s">
        <v>105</v>
      </c>
      <c r="F80" s="2" t="s">
        <v>106</v>
      </c>
      <c r="G80" s="2" t="s">
        <v>46</v>
      </c>
      <c r="H80" s="2">
        <v>1</v>
      </c>
      <c r="I80" s="2">
        <v>299.99</v>
      </c>
      <c r="J80" s="2" t="s">
        <v>20</v>
      </c>
      <c r="K80" s="2" t="s">
        <v>35</v>
      </c>
      <c r="L80" s="2" t="s">
        <v>22</v>
      </c>
      <c r="M80" s="3">
        <v>44982</v>
      </c>
      <c r="N80" s="2">
        <v>299.99</v>
      </c>
    </row>
    <row r="81" spans="1:14" x14ac:dyDescent="0.25">
      <c r="A81" s="2" t="s">
        <v>206</v>
      </c>
      <c r="B81" s="3">
        <v>45501</v>
      </c>
      <c r="C81" s="2" t="s">
        <v>86</v>
      </c>
      <c r="D81" s="2" t="s">
        <v>87</v>
      </c>
      <c r="E81" s="2" t="s">
        <v>117</v>
      </c>
      <c r="F81" s="2" t="s">
        <v>118</v>
      </c>
      <c r="G81" s="2" t="s">
        <v>19</v>
      </c>
      <c r="H81" s="2">
        <v>2</v>
      </c>
      <c r="I81" s="2">
        <v>89.99</v>
      </c>
      <c r="J81" s="2" t="s">
        <v>34</v>
      </c>
      <c r="K81" s="2" t="s">
        <v>35</v>
      </c>
      <c r="L81" s="2" t="s">
        <v>22</v>
      </c>
      <c r="M81" s="3">
        <v>44976</v>
      </c>
      <c r="N81" s="2">
        <v>179.98</v>
      </c>
    </row>
    <row r="82" spans="1:14" x14ac:dyDescent="0.25">
      <c r="A82" s="2" t="s">
        <v>207</v>
      </c>
      <c r="B82" s="3">
        <v>45501</v>
      </c>
      <c r="C82" s="2" t="s">
        <v>147</v>
      </c>
      <c r="D82" s="2" t="s">
        <v>148</v>
      </c>
      <c r="E82" s="2" t="s">
        <v>105</v>
      </c>
      <c r="F82" s="2" t="s">
        <v>106</v>
      </c>
      <c r="G82" s="2" t="s">
        <v>46</v>
      </c>
      <c r="H82" s="2">
        <v>3</v>
      </c>
      <c r="I82" s="2">
        <v>299.99</v>
      </c>
      <c r="J82" s="2" t="s">
        <v>20</v>
      </c>
      <c r="K82" s="2" t="s">
        <v>21</v>
      </c>
      <c r="L82" s="2" t="s">
        <v>22</v>
      </c>
      <c r="M82" s="3">
        <v>44732</v>
      </c>
      <c r="N82" s="2">
        <v>899.97</v>
      </c>
    </row>
    <row r="83" spans="1:14" x14ac:dyDescent="0.25">
      <c r="A83" s="2" t="s">
        <v>208</v>
      </c>
      <c r="B83" s="3">
        <v>45503</v>
      </c>
      <c r="C83" s="2" t="s">
        <v>86</v>
      </c>
      <c r="D83" s="2" t="s">
        <v>87</v>
      </c>
      <c r="E83" s="2" t="s">
        <v>80</v>
      </c>
      <c r="F83" s="2" t="s">
        <v>81</v>
      </c>
      <c r="G83" s="2" t="s">
        <v>19</v>
      </c>
      <c r="H83" s="2">
        <v>2</v>
      </c>
      <c r="I83" s="2">
        <v>699.99</v>
      </c>
      <c r="J83" s="2" t="s">
        <v>26</v>
      </c>
      <c r="K83" s="2" t="s">
        <v>40</v>
      </c>
      <c r="L83" s="2" t="s">
        <v>27</v>
      </c>
      <c r="M83" s="3">
        <v>44999</v>
      </c>
      <c r="N83" s="2">
        <v>1399.98</v>
      </c>
    </row>
    <row r="84" spans="1:14" x14ac:dyDescent="0.25">
      <c r="A84" s="2" t="s">
        <v>209</v>
      </c>
      <c r="B84" s="3">
        <v>45504</v>
      </c>
      <c r="C84" s="2" t="s">
        <v>120</v>
      </c>
      <c r="D84" s="2" t="s">
        <v>121</v>
      </c>
      <c r="E84" s="2" t="s">
        <v>61</v>
      </c>
      <c r="F84" s="2" t="s">
        <v>62</v>
      </c>
      <c r="G84" s="2" t="s">
        <v>19</v>
      </c>
      <c r="H84" s="2">
        <v>4</v>
      </c>
      <c r="I84" s="2">
        <v>899.99</v>
      </c>
      <c r="J84" s="2" t="s">
        <v>57</v>
      </c>
      <c r="K84" s="2" t="s">
        <v>35</v>
      </c>
      <c r="L84" s="2" t="s">
        <v>36</v>
      </c>
      <c r="M84" s="3">
        <v>44523</v>
      </c>
      <c r="N84" s="2">
        <v>3599.96</v>
      </c>
    </row>
    <row r="85" spans="1:14" x14ac:dyDescent="0.25">
      <c r="A85" s="2" t="s">
        <v>210</v>
      </c>
      <c r="B85" s="3">
        <v>45509</v>
      </c>
      <c r="C85" s="2" t="s">
        <v>211</v>
      </c>
      <c r="D85" s="2" t="s">
        <v>212</v>
      </c>
      <c r="E85" s="2" t="s">
        <v>44</v>
      </c>
      <c r="F85" s="2" t="s">
        <v>45</v>
      </c>
      <c r="G85" s="2" t="s">
        <v>46</v>
      </c>
      <c r="H85" s="2">
        <v>2</v>
      </c>
      <c r="I85" s="2">
        <v>149.99</v>
      </c>
      <c r="J85" s="2" t="s">
        <v>26</v>
      </c>
      <c r="K85" s="2" t="s">
        <v>50</v>
      </c>
      <c r="L85" s="2" t="s">
        <v>22</v>
      </c>
      <c r="M85" s="3">
        <v>44542</v>
      </c>
      <c r="N85" s="2">
        <v>299.98</v>
      </c>
    </row>
    <row r="86" spans="1:14" x14ac:dyDescent="0.25">
      <c r="A86" s="2" t="s">
        <v>213</v>
      </c>
      <c r="B86" s="3">
        <v>45510</v>
      </c>
      <c r="C86" s="2" t="s">
        <v>102</v>
      </c>
      <c r="D86" s="2" t="s">
        <v>103</v>
      </c>
      <c r="E86" s="2" t="s">
        <v>44</v>
      </c>
      <c r="F86" s="2" t="s">
        <v>45</v>
      </c>
      <c r="G86" s="2" t="s">
        <v>46</v>
      </c>
      <c r="H86" s="2">
        <v>2</v>
      </c>
      <c r="I86" s="2">
        <v>149.99</v>
      </c>
      <c r="J86" s="2" t="s">
        <v>57</v>
      </c>
      <c r="K86" s="2" t="s">
        <v>63</v>
      </c>
      <c r="L86" s="2" t="s">
        <v>36</v>
      </c>
      <c r="M86" s="3">
        <v>44667</v>
      </c>
      <c r="N86" s="2">
        <v>299.98</v>
      </c>
    </row>
    <row r="87" spans="1:14" x14ac:dyDescent="0.25">
      <c r="A87" s="2" t="s">
        <v>214</v>
      </c>
      <c r="B87" s="3">
        <v>45513</v>
      </c>
      <c r="C87" s="2" t="s">
        <v>89</v>
      </c>
      <c r="D87" s="2" t="s">
        <v>90</v>
      </c>
      <c r="E87" s="2" t="s">
        <v>117</v>
      </c>
      <c r="F87" s="2" t="s">
        <v>118</v>
      </c>
      <c r="G87" s="2" t="s">
        <v>19</v>
      </c>
      <c r="H87" s="2">
        <v>1</v>
      </c>
      <c r="I87" s="2">
        <v>89.99</v>
      </c>
      <c r="J87" s="2" t="s">
        <v>26</v>
      </c>
      <c r="K87" s="2" t="s">
        <v>40</v>
      </c>
      <c r="L87" s="2" t="s">
        <v>36</v>
      </c>
      <c r="M87" s="3">
        <v>45393</v>
      </c>
      <c r="N87" s="2">
        <v>89.99</v>
      </c>
    </row>
    <row r="88" spans="1:14" x14ac:dyDescent="0.25">
      <c r="A88" s="2" t="s">
        <v>215</v>
      </c>
      <c r="B88" s="3">
        <v>45515</v>
      </c>
      <c r="C88" s="2" t="s">
        <v>86</v>
      </c>
      <c r="D88" s="2" t="s">
        <v>87</v>
      </c>
      <c r="E88" s="2" t="s">
        <v>105</v>
      </c>
      <c r="F88" s="2" t="s">
        <v>106</v>
      </c>
      <c r="G88" s="2" t="s">
        <v>46</v>
      </c>
      <c r="H88" s="2">
        <v>5</v>
      </c>
      <c r="I88" s="2">
        <v>299.99</v>
      </c>
      <c r="J88" s="2" t="s">
        <v>26</v>
      </c>
      <c r="K88" s="2" t="s">
        <v>40</v>
      </c>
      <c r="L88" s="2" t="s">
        <v>22</v>
      </c>
      <c r="M88" s="3">
        <v>44965</v>
      </c>
      <c r="N88" s="2">
        <v>1499.95</v>
      </c>
    </row>
    <row r="89" spans="1:14" x14ac:dyDescent="0.25">
      <c r="A89" s="2" t="s">
        <v>216</v>
      </c>
      <c r="B89" s="3">
        <v>45517</v>
      </c>
      <c r="C89" s="2" t="s">
        <v>182</v>
      </c>
      <c r="D89" s="2" t="s">
        <v>183</v>
      </c>
      <c r="E89" s="2" t="s">
        <v>52</v>
      </c>
      <c r="F89" s="2" t="s">
        <v>53</v>
      </c>
      <c r="G89" s="2" t="s">
        <v>19</v>
      </c>
      <c r="H89" s="2">
        <v>4</v>
      </c>
      <c r="I89" s="2">
        <v>149.99</v>
      </c>
      <c r="J89" s="2" t="s">
        <v>57</v>
      </c>
      <c r="K89" s="2" t="s">
        <v>35</v>
      </c>
      <c r="L89" s="2" t="s">
        <v>27</v>
      </c>
      <c r="M89" s="3">
        <v>44820</v>
      </c>
      <c r="N89" s="2">
        <v>599.96</v>
      </c>
    </row>
    <row r="90" spans="1:14" x14ac:dyDescent="0.25">
      <c r="A90" s="2" t="s">
        <v>217</v>
      </c>
      <c r="B90" s="3">
        <v>45517</v>
      </c>
      <c r="C90" s="2" t="s">
        <v>185</v>
      </c>
      <c r="D90" s="2" t="s">
        <v>186</v>
      </c>
      <c r="E90" s="2" t="s">
        <v>17</v>
      </c>
      <c r="F90" s="2" t="s">
        <v>18</v>
      </c>
      <c r="G90" s="2" t="s">
        <v>19</v>
      </c>
      <c r="H90" s="2">
        <v>5</v>
      </c>
      <c r="I90" s="2">
        <v>249.99</v>
      </c>
      <c r="J90" s="2" t="s">
        <v>34</v>
      </c>
      <c r="K90" s="2" t="s">
        <v>63</v>
      </c>
      <c r="L90" s="2" t="s">
        <v>27</v>
      </c>
      <c r="M90" s="3">
        <v>44782</v>
      </c>
      <c r="N90" s="2">
        <v>1249.95</v>
      </c>
    </row>
    <row r="91" spans="1:14" x14ac:dyDescent="0.25">
      <c r="A91" s="2" t="s">
        <v>218</v>
      </c>
      <c r="B91" s="3">
        <v>45517</v>
      </c>
      <c r="C91" s="2" t="s">
        <v>65</v>
      </c>
      <c r="D91" s="2" t="s">
        <v>66</v>
      </c>
      <c r="E91" s="2" t="s">
        <v>17</v>
      </c>
      <c r="F91" s="2" t="s">
        <v>18</v>
      </c>
      <c r="G91" s="2" t="s">
        <v>19</v>
      </c>
      <c r="H91" s="2">
        <v>3</v>
      </c>
      <c r="I91" s="2">
        <v>249.99</v>
      </c>
      <c r="J91" s="2" t="s">
        <v>34</v>
      </c>
      <c r="K91" s="2" t="s">
        <v>40</v>
      </c>
      <c r="L91" s="2" t="s">
        <v>27</v>
      </c>
      <c r="M91" s="3">
        <v>44465</v>
      </c>
      <c r="N91" s="2">
        <v>749.97</v>
      </c>
    </row>
    <row r="92" spans="1:14" x14ac:dyDescent="0.25">
      <c r="A92" s="2" t="s">
        <v>219</v>
      </c>
      <c r="B92" s="3">
        <v>45517</v>
      </c>
      <c r="C92" s="2" t="s">
        <v>38</v>
      </c>
      <c r="D92" s="2" t="s">
        <v>39</v>
      </c>
      <c r="E92" s="2" t="s">
        <v>126</v>
      </c>
      <c r="F92" s="2" t="s">
        <v>127</v>
      </c>
      <c r="G92" s="2" t="s">
        <v>46</v>
      </c>
      <c r="H92" s="2">
        <v>4</v>
      </c>
      <c r="I92" s="2">
        <v>199.99</v>
      </c>
      <c r="J92" s="2" t="s">
        <v>20</v>
      </c>
      <c r="K92" s="2" t="s">
        <v>40</v>
      </c>
      <c r="L92" s="2" t="s">
        <v>36</v>
      </c>
      <c r="M92" s="3">
        <v>44458</v>
      </c>
      <c r="N92" s="2">
        <v>799.96</v>
      </c>
    </row>
    <row r="93" spans="1:14" x14ac:dyDescent="0.25">
      <c r="A93" s="2" t="s">
        <v>220</v>
      </c>
      <c r="B93" s="3">
        <v>45519</v>
      </c>
      <c r="C93" s="2" t="s">
        <v>158</v>
      </c>
      <c r="D93" s="2" t="s">
        <v>159</v>
      </c>
      <c r="E93" s="2" t="s">
        <v>126</v>
      </c>
      <c r="F93" s="2" t="s">
        <v>127</v>
      </c>
      <c r="G93" s="2" t="s">
        <v>46</v>
      </c>
      <c r="H93" s="2">
        <v>5</v>
      </c>
      <c r="I93" s="2">
        <v>199.99</v>
      </c>
      <c r="J93" s="2" t="s">
        <v>20</v>
      </c>
      <c r="K93" s="2" t="s">
        <v>40</v>
      </c>
      <c r="L93" s="2" t="s">
        <v>27</v>
      </c>
      <c r="M93" s="3">
        <v>44991</v>
      </c>
      <c r="N93" s="2">
        <v>999.95</v>
      </c>
    </row>
    <row r="94" spans="1:14" x14ac:dyDescent="0.25">
      <c r="A94" s="2" t="s">
        <v>221</v>
      </c>
      <c r="B94" s="3">
        <v>45522</v>
      </c>
      <c r="C94" s="2" t="s">
        <v>86</v>
      </c>
      <c r="D94" s="2" t="s">
        <v>87</v>
      </c>
      <c r="E94" s="2" t="s">
        <v>117</v>
      </c>
      <c r="F94" s="2" t="s">
        <v>118</v>
      </c>
      <c r="G94" s="2" t="s">
        <v>19</v>
      </c>
      <c r="H94" s="2">
        <v>2</v>
      </c>
      <c r="I94" s="2">
        <v>89.99</v>
      </c>
      <c r="J94" s="2" t="s">
        <v>20</v>
      </c>
      <c r="K94" s="2" t="s">
        <v>63</v>
      </c>
      <c r="L94" s="2" t="s">
        <v>27</v>
      </c>
      <c r="M94" s="3">
        <v>44972</v>
      </c>
      <c r="N94" s="2">
        <v>179.98</v>
      </c>
    </row>
    <row r="95" spans="1:14" x14ac:dyDescent="0.25">
      <c r="A95" s="2" t="s">
        <v>222</v>
      </c>
      <c r="B95" s="3">
        <v>45523</v>
      </c>
      <c r="C95" s="2" t="s">
        <v>196</v>
      </c>
      <c r="D95" s="2" t="s">
        <v>197</v>
      </c>
      <c r="E95" s="2" t="s">
        <v>61</v>
      </c>
      <c r="F95" s="2" t="s">
        <v>62</v>
      </c>
      <c r="G95" s="2" t="s">
        <v>19</v>
      </c>
      <c r="H95" s="2">
        <v>5</v>
      </c>
      <c r="I95" s="2">
        <v>899.99</v>
      </c>
      <c r="J95" s="2" t="s">
        <v>57</v>
      </c>
      <c r="K95" s="2" t="s">
        <v>63</v>
      </c>
      <c r="L95" s="2" t="s">
        <v>22</v>
      </c>
      <c r="M95" s="3">
        <v>44526</v>
      </c>
      <c r="N95" s="2">
        <v>4499.95</v>
      </c>
    </row>
    <row r="96" spans="1:14" x14ac:dyDescent="0.25">
      <c r="A96" s="2" t="s">
        <v>223</v>
      </c>
      <c r="B96" s="3">
        <v>45523</v>
      </c>
      <c r="C96" s="2" t="s">
        <v>108</v>
      </c>
      <c r="D96" s="2" t="s">
        <v>109</v>
      </c>
      <c r="E96" s="2" t="s">
        <v>52</v>
      </c>
      <c r="F96" s="2" t="s">
        <v>53</v>
      </c>
      <c r="G96" s="2" t="s">
        <v>19</v>
      </c>
      <c r="H96" s="2">
        <v>3</v>
      </c>
      <c r="I96" s="2">
        <v>149.99</v>
      </c>
      <c r="J96" s="2" t="s">
        <v>34</v>
      </c>
      <c r="K96" s="2" t="s">
        <v>63</v>
      </c>
      <c r="L96" s="2" t="s">
        <v>22</v>
      </c>
      <c r="M96" s="3">
        <v>44574</v>
      </c>
      <c r="N96" s="2">
        <v>449.97</v>
      </c>
    </row>
    <row r="97" spans="1:14" x14ac:dyDescent="0.25">
      <c r="A97" s="2" t="s">
        <v>224</v>
      </c>
      <c r="B97" s="3">
        <v>45526</v>
      </c>
      <c r="C97" s="2" t="s">
        <v>102</v>
      </c>
      <c r="D97" s="2" t="s">
        <v>103</v>
      </c>
      <c r="E97" s="2" t="s">
        <v>44</v>
      </c>
      <c r="F97" s="2" t="s">
        <v>45</v>
      </c>
      <c r="G97" s="2" t="s">
        <v>46</v>
      </c>
      <c r="H97" s="2">
        <v>5</v>
      </c>
      <c r="I97" s="2">
        <v>149.99</v>
      </c>
      <c r="J97" s="2" t="s">
        <v>26</v>
      </c>
      <c r="K97" s="2" t="s">
        <v>21</v>
      </c>
      <c r="L97" s="2" t="s">
        <v>22</v>
      </c>
      <c r="M97" s="3">
        <v>45310</v>
      </c>
      <c r="N97" s="2">
        <v>749.95</v>
      </c>
    </row>
    <row r="98" spans="1:14" x14ac:dyDescent="0.25">
      <c r="A98" s="2" t="s">
        <v>225</v>
      </c>
      <c r="B98" s="3">
        <v>45528</v>
      </c>
      <c r="C98" s="2" t="s">
        <v>226</v>
      </c>
      <c r="D98" s="2" t="s">
        <v>227</v>
      </c>
      <c r="E98" s="2" t="s">
        <v>114</v>
      </c>
      <c r="F98" s="2" t="s">
        <v>115</v>
      </c>
      <c r="G98" s="2" t="s">
        <v>33</v>
      </c>
      <c r="H98" s="2">
        <v>3</v>
      </c>
      <c r="I98" s="2">
        <v>79.989999999999995</v>
      </c>
      <c r="J98" s="2" t="s">
        <v>20</v>
      </c>
      <c r="K98" s="2" t="s">
        <v>21</v>
      </c>
      <c r="L98" s="2" t="s">
        <v>27</v>
      </c>
      <c r="M98" s="3">
        <v>44779</v>
      </c>
      <c r="N98" s="2">
        <v>239.97</v>
      </c>
    </row>
    <row r="99" spans="1:14" x14ac:dyDescent="0.25">
      <c r="A99" s="2" t="s">
        <v>228</v>
      </c>
      <c r="B99" s="3">
        <v>45528</v>
      </c>
      <c r="C99" s="2" t="s">
        <v>144</v>
      </c>
      <c r="D99" s="2" t="s">
        <v>145</v>
      </c>
      <c r="E99" s="2" t="s">
        <v>17</v>
      </c>
      <c r="F99" s="2" t="s">
        <v>18</v>
      </c>
      <c r="G99" s="2" t="s">
        <v>19</v>
      </c>
      <c r="H99" s="2">
        <v>2</v>
      </c>
      <c r="I99" s="2">
        <v>249.99</v>
      </c>
      <c r="J99" s="2" t="s">
        <v>20</v>
      </c>
      <c r="K99" s="2" t="s">
        <v>35</v>
      </c>
      <c r="L99" s="2" t="s">
        <v>36</v>
      </c>
      <c r="M99" s="3">
        <v>44572</v>
      </c>
      <c r="N99" s="2">
        <v>499.98</v>
      </c>
    </row>
    <row r="100" spans="1:14" x14ac:dyDescent="0.25">
      <c r="A100" s="2" t="s">
        <v>229</v>
      </c>
      <c r="B100" s="3">
        <v>45532</v>
      </c>
      <c r="C100" s="2" t="s">
        <v>196</v>
      </c>
      <c r="D100" s="2" t="s">
        <v>197</v>
      </c>
      <c r="E100" s="2" t="s">
        <v>80</v>
      </c>
      <c r="F100" s="2" t="s">
        <v>81</v>
      </c>
      <c r="G100" s="2" t="s">
        <v>19</v>
      </c>
      <c r="H100" s="2">
        <v>1</v>
      </c>
      <c r="I100" s="2">
        <v>699.99</v>
      </c>
      <c r="J100" s="2" t="s">
        <v>20</v>
      </c>
      <c r="K100" s="2" t="s">
        <v>21</v>
      </c>
      <c r="L100" s="2" t="s">
        <v>27</v>
      </c>
      <c r="M100" s="3">
        <v>44497</v>
      </c>
      <c r="N100" s="2">
        <v>699.99</v>
      </c>
    </row>
    <row r="101" spans="1:14" x14ac:dyDescent="0.25">
      <c r="A101" s="2" t="s">
        <v>230</v>
      </c>
      <c r="B101" s="3">
        <v>45532</v>
      </c>
      <c r="C101" s="2" t="s">
        <v>231</v>
      </c>
      <c r="D101" s="2" t="s">
        <v>232</v>
      </c>
      <c r="E101" s="2" t="s">
        <v>52</v>
      </c>
      <c r="F101" s="2" t="s">
        <v>53</v>
      </c>
      <c r="G101" s="2" t="s">
        <v>19</v>
      </c>
      <c r="H101" s="2">
        <v>3</v>
      </c>
      <c r="I101" s="2">
        <v>149.99</v>
      </c>
      <c r="J101" s="2" t="s">
        <v>20</v>
      </c>
      <c r="K101" s="2" t="s">
        <v>50</v>
      </c>
      <c r="L101" s="2" t="s">
        <v>27</v>
      </c>
      <c r="M101" s="3">
        <v>45212</v>
      </c>
      <c r="N101" s="2">
        <v>449.97</v>
      </c>
    </row>
    <row r="102" spans="1:14" x14ac:dyDescent="0.25">
      <c r="A102" s="2" t="s">
        <v>233</v>
      </c>
      <c r="B102" s="3">
        <v>45534</v>
      </c>
      <c r="C102" s="2" t="s">
        <v>234</v>
      </c>
      <c r="D102" s="2" t="s">
        <v>235</v>
      </c>
      <c r="E102" s="2" t="s">
        <v>80</v>
      </c>
      <c r="F102" s="2" t="s">
        <v>81</v>
      </c>
      <c r="G102" s="2" t="s">
        <v>19</v>
      </c>
      <c r="H102" s="2">
        <v>2</v>
      </c>
      <c r="I102" s="2">
        <v>699.99</v>
      </c>
      <c r="J102" s="2" t="s">
        <v>26</v>
      </c>
      <c r="K102" s="2" t="s">
        <v>40</v>
      </c>
      <c r="L102" s="2" t="s">
        <v>27</v>
      </c>
      <c r="M102" s="3">
        <v>44421</v>
      </c>
      <c r="N102" s="2">
        <v>1399.98</v>
      </c>
    </row>
    <row r="103" spans="1:14" x14ac:dyDescent="0.25">
      <c r="A103" s="2" t="s">
        <v>236</v>
      </c>
      <c r="B103" s="3">
        <v>45537</v>
      </c>
      <c r="C103" s="2" t="s">
        <v>231</v>
      </c>
      <c r="D103" s="2" t="s">
        <v>232</v>
      </c>
      <c r="E103" s="2" t="s">
        <v>17</v>
      </c>
      <c r="F103" s="2" t="s">
        <v>18</v>
      </c>
      <c r="G103" s="2" t="s">
        <v>19</v>
      </c>
      <c r="H103" s="2">
        <v>1</v>
      </c>
      <c r="I103" s="2">
        <v>249.99</v>
      </c>
      <c r="J103" s="2" t="s">
        <v>26</v>
      </c>
      <c r="K103" s="2" t="s">
        <v>50</v>
      </c>
      <c r="L103" s="2" t="s">
        <v>27</v>
      </c>
      <c r="M103" s="3">
        <v>44685</v>
      </c>
      <c r="N103" s="2">
        <v>249.99</v>
      </c>
    </row>
    <row r="104" spans="1:14" x14ac:dyDescent="0.25">
      <c r="A104" s="2" t="s">
        <v>237</v>
      </c>
      <c r="B104" s="3">
        <v>45537</v>
      </c>
      <c r="C104" s="2" t="s">
        <v>15</v>
      </c>
      <c r="D104" s="2" t="s">
        <v>16</v>
      </c>
      <c r="E104" s="2" t="s">
        <v>17</v>
      </c>
      <c r="F104" s="2" t="s">
        <v>18</v>
      </c>
      <c r="G104" s="2" t="s">
        <v>19</v>
      </c>
      <c r="H104" s="2">
        <v>1</v>
      </c>
      <c r="I104" s="2">
        <v>249.99</v>
      </c>
      <c r="J104" s="2" t="s">
        <v>57</v>
      </c>
      <c r="K104" s="2" t="s">
        <v>40</v>
      </c>
      <c r="L104" s="2" t="s">
        <v>27</v>
      </c>
      <c r="M104" s="3">
        <v>45332</v>
      </c>
      <c r="N104" s="2">
        <v>249.99</v>
      </c>
    </row>
    <row r="105" spans="1:14" x14ac:dyDescent="0.25">
      <c r="A105" s="2" t="s">
        <v>238</v>
      </c>
      <c r="B105" s="3">
        <v>45538</v>
      </c>
      <c r="C105" s="2" t="s">
        <v>226</v>
      </c>
      <c r="D105" s="2" t="s">
        <v>227</v>
      </c>
      <c r="E105" s="2" t="s">
        <v>80</v>
      </c>
      <c r="F105" s="2" t="s">
        <v>81</v>
      </c>
      <c r="G105" s="2" t="s">
        <v>19</v>
      </c>
      <c r="H105" s="2">
        <v>2</v>
      </c>
      <c r="I105" s="2">
        <v>699.99</v>
      </c>
      <c r="J105" s="2" t="s">
        <v>57</v>
      </c>
      <c r="K105" s="2" t="s">
        <v>21</v>
      </c>
      <c r="L105" s="2" t="s">
        <v>27</v>
      </c>
      <c r="M105" s="3">
        <v>44870</v>
      </c>
      <c r="N105" s="2">
        <v>1399.98</v>
      </c>
    </row>
    <row r="106" spans="1:14" x14ac:dyDescent="0.25">
      <c r="A106" s="2" t="s">
        <v>239</v>
      </c>
      <c r="B106" s="3">
        <v>45541</v>
      </c>
      <c r="C106" s="2" t="s">
        <v>138</v>
      </c>
      <c r="D106" s="2" t="s">
        <v>139</v>
      </c>
      <c r="E106" s="2" t="s">
        <v>31</v>
      </c>
      <c r="F106" s="2" t="s">
        <v>32</v>
      </c>
      <c r="G106" s="2" t="s">
        <v>33</v>
      </c>
      <c r="H106" s="2">
        <v>3</v>
      </c>
      <c r="I106" s="2">
        <v>59.99</v>
      </c>
      <c r="J106" s="2" t="s">
        <v>26</v>
      </c>
      <c r="K106" s="2" t="s">
        <v>21</v>
      </c>
      <c r="L106" s="2" t="s">
        <v>27</v>
      </c>
      <c r="M106" s="3">
        <v>44717</v>
      </c>
      <c r="N106" s="2">
        <v>179.97</v>
      </c>
    </row>
    <row r="107" spans="1:14" x14ac:dyDescent="0.25">
      <c r="A107" s="2" t="s">
        <v>240</v>
      </c>
      <c r="B107" s="3">
        <v>45544</v>
      </c>
      <c r="C107" s="2" t="s">
        <v>132</v>
      </c>
      <c r="D107" s="2" t="s">
        <v>133</v>
      </c>
      <c r="E107" s="2" t="s">
        <v>31</v>
      </c>
      <c r="F107" s="2" t="s">
        <v>32</v>
      </c>
      <c r="G107" s="2" t="s">
        <v>33</v>
      </c>
      <c r="H107" s="2">
        <v>3</v>
      </c>
      <c r="I107" s="2">
        <v>59.99</v>
      </c>
      <c r="J107" s="2" t="s">
        <v>34</v>
      </c>
      <c r="K107" s="2" t="s">
        <v>63</v>
      </c>
      <c r="L107" s="2" t="s">
        <v>36</v>
      </c>
      <c r="M107" s="3">
        <v>44748</v>
      </c>
      <c r="N107" s="2">
        <v>179.97</v>
      </c>
    </row>
    <row r="108" spans="1:14" x14ac:dyDescent="0.25">
      <c r="A108" s="2" t="s">
        <v>241</v>
      </c>
      <c r="B108" s="3">
        <v>45544</v>
      </c>
      <c r="C108" s="2" t="s">
        <v>141</v>
      </c>
      <c r="D108" s="2" t="s">
        <v>142</v>
      </c>
      <c r="E108" s="2" t="s">
        <v>114</v>
      </c>
      <c r="F108" s="2" t="s">
        <v>115</v>
      </c>
      <c r="G108" s="2" t="s">
        <v>33</v>
      </c>
      <c r="H108" s="2">
        <v>4</v>
      </c>
      <c r="I108" s="2">
        <v>79.989999999999995</v>
      </c>
      <c r="J108" s="2" t="s">
        <v>20</v>
      </c>
      <c r="K108" s="2" t="s">
        <v>40</v>
      </c>
      <c r="L108" s="2" t="s">
        <v>22</v>
      </c>
      <c r="M108" s="3">
        <v>44530</v>
      </c>
      <c r="N108" s="2">
        <v>319.95999999999998</v>
      </c>
    </row>
    <row r="109" spans="1:14" x14ac:dyDescent="0.25">
      <c r="A109" s="2" t="s">
        <v>242</v>
      </c>
      <c r="B109" s="3">
        <v>45545</v>
      </c>
      <c r="C109" s="2" t="s">
        <v>55</v>
      </c>
      <c r="D109" s="2" t="s">
        <v>56</v>
      </c>
      <c r="E109" s="2" t="s">
        <v>114</v>
      </c>
      <c r="F109" s="2" t="s">
        <v>115</v>
      </c>
      <c r="G109" s="2" t="s">
        <v>33</v>
      </c>
      <c r="H109" s="2">
        <v>1</v>
      </c>
      <c r="I109" s="2">
        <v>79.989999999999995</v>
      </c>
      <c r="J109" s="2" t="s">
        <v>20</v>
      </c>
      <c r="K109" s="2" t="s">
        <v>50</v>
      </c>
      <c r="L109" s="2" t="s">
        <v>22</v>
      </c>
      <c r="M109" s="3">
        <v>44693</v>
      </c>
      <c r="N109" s="2">
        <v>79.989999999999995</v>
      </c>
    </row>
    <row r="110" spans="1:14" x14ac:dyDescent="0.25">
      <c r="A110" s="2" t="s">
        <v>243</v>
      </c>
      <c r="B110" s="3">
        <v>45547</v>
      </c>
      <c r="C110" s="2" t="s">
        <v>48</v>
      </c>
      <c r="D110" s="2" t="s">
        <v>49</v>
      </c>
      <c r="E110" s="2" t="s">
        <v>105</v>
      </c>
      <c r="F110" s="2" t="s">
        <v>106</v>
      </c>
      <c r="G110" s="2" t="s">
        <v>46</v>
      </c>
      <c r="H110" s="2">
        <v>3</v>
      </c>
      <c r="I110" s="2">
        <v>299.99</v>
      </c>
      <c r="J110" s="2" t="s">
        <v>26</v>
      </c>
      <c r="K110" s="2" t="s">
        <v>21</v>
      </c>
      <c r="L110" s="2" t="s">
        <v>27</v>
      </c>
      <c r="M110" s="3">
        <v>44494</v>
      </c>
      <c r="N110" s="2">
        <v>899.97</v>
      </c>
    </row>
    <row r="111" spans="1:14" x14ac:dyDescent="0.25">
      <c r="A111" s="2" t="s">
        <v>244</v>
      </c>
      <c r="B111" s="3">
        <v>45548</v>
      </c>
      <c r="C111" s="2" t="s">
        <v>38</v>
      </c>
      <c r="D111" s="2" t="s">
        <v>39</v>
      </c>
      <c r="E111" s="2" t="s">
        <v>117</v>
      </c>
      <c r="F111" s="2" t="s">
        <v>118</v>
      </c>
      <c r="G111" s="2" t="s">
        <v>19</v>
      </c>
      <c r="H111" s="2">
        <v>2</v>
      </c>
      <c r="I111" s="2">
        <v>89.99</v>
      </c>
      <c r="J111" s="2" t="s">
        <v>26</v>
      </c>
      <c r="K111" s="2" t="s">
        <v>35</v>
      </c>
      <c r="L111" s="2" t="s">
        <v>27</v>
      </c>
      <c r="M111" s="3">
        <v>44641</v>
      </c>
      <c r="N111" s="2">
        <v>179.98</v>
      </c>
    </row>
    <row r="112" spans="1:14" x14ac:dyDescent="0.25">
      <c r="A112" s="2" t="s">
        <v>245</v>
      </c>
      <c r="B112" s="3">
        <v>45550</v>
      </c>
      <c r="C112" s="2" t="s">
        <v>246</v>
      </c>
      <c r="D112" s="2" t="s">
        <v>247</v>
      </c>
      <c r="E112" s="2" t="s">
        <v>52</v>
      </c>
      <c r="F112" s="2" t="s">
        <v>53</v>
      </c>
      <c r="G112" s="2" t="s">
        <v>19</v>
      </c>
      <c r="H112" s="2">
        <v>4</v>
      </c>
      <c r="I112" s="2">
        <v>149.99</v>
      </c>
      <c r="J112" s="2" t="s">
        <v>20</v>
      </c>
      <c r="K112" s="2" t="s">
        <v>40</v>
      </c>
      <c r="L112" s="2" t="s">
        <v>22</v>
      </c>
      <c r="M112" s="3">
        <v>44909</v>
      </c>
      <c r="N112" s="2">
        <v>599.96</v>
      </c>
    </row>
    <row r="113" spans="1:14" x14ac:dyDescent="0.25">
      <c r="A113" s="2" t="s">
        <v>248</v>
      </c>
      <c r="B113" s="3">
        <v>45551</v>
      </c>
      <c r="C113" s="2" t="s">
        <v>65</v>
      </c>
      <c r="D113" s="2" t="s">
        <v>66</v>
      </c>
      <c r="E113" s="2" t="s">
        <v>17</v>
      </c>
      <c r="F113" s="2" t="s">
        <v>18</v>
      </c>
      <c r="G113" s="2" t="s">
        <v>19</v>
      </c>
      <c r="H113" s="2">
        <v>2</v>
      </c>
      <c r="I113" s="2">
        <v>249.99</v>
      </c>
      <c r="J113" s="2" t="s">
        <v>34</v>
      </c>
      <c r="K113" s="2" t="s">
        <v>35</v>
      </c>
      <c r="L113" s="2" t="s">
        <v>22</v>
      </c>
      <c r="M113" s="3">
        <v>44993</v>
      </c>
      <c r="N113" s="2">
        <v>499.98</v>
      </c>
    </row>
    <row r="114" spans="1:14" x14ac:dyDescent="0.25">
      <c r="A114" s="2" t="s">
        <v>249</v>
      </c>
      <c r="B114" s="3">
        <v>45551</v>
      </c>
      <c r="C114" s="2" t="s">
        <v>154</v>
      </c>
      <c r="D114" s="2" t="s">
        <v>155</v>
      </c>
      <c r="E114" s="2" t="s">
        <v>126</v>
      </c>
      <c r="F114" s="2" t="s">
        <v>127</v>
      </c>
      <c r="G114" s="2" t="s">
        <v>46</v>
      </c>
      <c r="H114" s="2">
        <v>4</v>
      </c>
      <c r="I114" s="2">
        <v>199.99</v>
      </c>
      <c r="J114" s="2" t="s">
        <v>57</v>
      </c>
      <c r="K114" s="2" t="s">
        <v>63</v>
      </c>
      <c r="L114" s="2" t="s">
        <v>22</v>
      </c>
      <c r="M114" s="3">
        <v>44458</v>
      </c>
      <c r="N114" s="2">
        <v>799.96</v>
      </c>
    </row>
    <row r="115" spans="1:14" x14ac:dyDescent="0.25">
      <c r="A115" s="2" t="s">
        <v>250</v>
      </c>
      <c r="B115" s="3">
        <v>45554</v>
      </c>
      <c r="C115" s="2" t="s">
        <v>147</v>
      </c>
      <c r="D115" s="2" t="s">
        <v>148</v>
      </c>
      <c r="E115" s="2" t="s">
        <v>117</v>
      </c>
      <c r="F115" s="2" t="s">
        <v>118</v>
      </c>
      <c r="G115" s="2" t="s">
        <v>19</v>
      </c>
      <c r="H115" s="2">
        <v>5</v>
      </c>
      <c r="I115" s="2">
        <v>89.99</v>
      </c>
      <c r="J115" s="2" t="s">
        <v>26</v>
      </c>
      <c r="K115" s="2" t="s">
        <v>63</v>
      </c>
      <c r="L115" s="2" t="s">
        <v>27</v>
      </c>
      <c r="M115" s="3">
        <v>44446</v>
      </c>
      <c r="N115" s="2">
        <v>449.95</v>
      </c>
    </row>
    <row r="116" spans="1:14" x14ac:dyDescent="0.25">
      <c r="A116" s="2" t="s">
        <v>251</v>
      </c>
      <c r="B116" s="3">
        <v>45554</v>
      </c>
      <c r="C116" s="2" t="s">
        <v>252</v>
      </c>
      <c r="D116" s="2" t="s">
        <v>253</v>
      </c>
      <c r="E116" s="2" t="s">
        <v>52</v>
      </c>
      <c r="F116" s="2" t="s">
        <v>53</v>
      </c>
      <c r="G116" s="2" t="s">
        <v>19</v>
      </c>
      <c r="H116" s="2">
        <v>1</v>
      </c>
      <c r="I116" s="2">
        <v>149.99</v>
      </c>
      <c r="J116" s="2" t="s">
        <v>34</v>
      </c>
      <c r="K116" s="2" t="s">
        <v>63</v>
      </c>
      <c r="L116" s="2" t="s">
        <v>36</v>
      </c>
      <c r="M116" s="3">
        <v>44482</v>
      </c>
      <c r="N116" s="2">
        <v>149.99</v>
      </c>
    </row>
    <row r="117" spans="1:14" x14ac:dyDescent="0.25">
      <c r="A117" s="2" t="s">
        <v>254</v>
      </c>
      <c r="B117" s="3">
        <v>45554</v>
      </c>
      <c r="C117" s="2" t="s">
        <v>72</v>
      </c>
      <c r="D117" s="2" t="s">
        <v>73</v>
      </c>
      <c r="E117" s="2" t="s">
        <v>80</v>
      </c>
      <c r="F117" s="2" t="s">
        <v>81</v>
      </c>
      <c r="G117" s="2" t="s">
        <v>19</v>
      </c>
      <c r="H117" s="2">
        <v>4</v>
      </c>
      <c r="I117" s="2">
        <v>699.99</v>
      </c>
      <c r="J117" s="2" t="s">
        <v>34</v>
      </c>
      <c r="K117" s="2" t="s">
        <v>35</v>
      </c>
      <c r="L117" s="2" t="s">
        <v>22</v>
      </c>
      <c r="M117" s="3">
        <v>44618</v>
      </c>
      <c r="N117" s="2">
        <v>2799.96</v>
      </c>
    </row>
    <row r="118" spans="1:14" x14ac:dyDescent="0.25">
      <c r="A118" s="2" t="s">
        <v>255</v>
      </c>
      <c r="B118" s="3">
        <v>45559</v>
      </c>
      <c r="C118" s="2" t="s">
        <v>234</v>
      </c>
      <c r="D118" s="2" t="s">
        <v>235</v>
      </c>
      <c r="E118" s="2" t="s">
        <v>61</v>
      </c>
      <c r="F118" s="2" t="s">
        <v>62</v>
      </c>
      <c r="G118" s="2" t="s">
        <v>19</v>
      </c>
      <c r="H118" s="2">
        <v>3</v>
      </c>
      <c r="I118" s="2">
        <v>899.99</v>
      </c>
      <c r="J118" s="2" t="s">
        <v>26</v>
      </c>
      <c r="K118" s="2" t="s">
        <v>40</v>
      </c>
      <c r="L118" s="2" t="s">
        <v>36</v>
      </c>
      <c r="M118" s="3">
        <v>45157</v>
      </c>
      <c r="N118" s="2">
        <v>2699.97</v>
      </c>
    </row>
    <row r="119" spans="1:14" x14ac:dyDescent="0.25">
      <c r="A119" s="2" t="s">
        <v>256</v>
      </c>
      <c r="B119" s="3">
        <v>45560</v>
      </c>
      <c r="C119" s="2" t="s">
        <v>112</v>
      </c>
      <c r="D119" s="2" t="s">
        <v>113</v>
      </c>
      <c r="E119" s="2" t="s">
        <v>44</v>
      </c>
      <c r="F119" s="2" t="s">
        <v>45</v>
      </c>
      <c r="G119" s="2" t="s">
        <v>46</v>
      </c>
      <c r="H119" s="2">
        <v>3</v>
      </c>
      <c r="I119" s="2">
        <v>149.99</v>
      </c>
      <c r="J119" s="2" t="s">
        <v>34</v>
      </c>
      <c r="K119" s="2" t="s">
        <v>63</v>
      </c>
      <c r="L119" s="2" t="s">
        <v>22</v>
      </c>
      <c r="M119" s="3">
        <v>44886</v>
      </c>
      <c r="N119" s="2">
        <v>449.97</v>
      </c>
    </row>
    <row r="120" spans="1:14" x14ac:dyDescent="0.25">
      <c r="A120" s="2" t="s">
        <v>257</v>
      </c>
      <c r="B120" s="3">
        <v>45563</v>
      </c>
      <c r="C120" s="2" t="s">
        <v>99</v>
      </c>
      <c r="D120" s="2" t="s">
        <v>100</v>
      </c>
      <c r="E120" s="2" t="s">
        <v>105</v>
      </c>
      <c r="F120" s="2" t="s">
        <v>106</v>
      </c>
      <c r="G120" s="2" t="s">
        <v>46</v>
      </c>
      <c r="H120" s="2">
        <v>2</v>
      </c>
      <c r="I120" s="2">
        <v>299.99</v>
      </c>
      <c r="J120" s="2" t="s">
        <v>57</v>
      </c>
      <c r="K120" s="2" t="s">
        <v>21</v>
      </c>
      <c r="L120" s="2" t="s">
        <v>22</v>
      </c>
      <c r="M120" s="3">
        <v>44569</v>
      </c>
      <c r="N120" s="2">
        <v>599.98</v>
      </c>
    </row>
    <row r="121" spans="1:14" x14ac:dyDescent="0.25">
      <c r="A121" s="2" t="s">
        <v>258</v>
      </c>
      <c r="B121" s="3">
        <v>45564</v>
      </c>
      <c r="C121" s="2" t="s">
        <v>259</v>
      </c>
      <c r="D121" s="2" t="s">
        <v>260</v>
      </c>
      <c r="E121" s="2" t="s">
        <v>126</v>
      </c>
      <c r="F121" s="2" t="s">
        <v>127</v>
      </c>
      <c r="G121" s="2" t="s">
        <v>46</v>
      </c>
      <c r="H121" s="2">
        <v>1</v>
      </c>
      <c r="I121" s="2">
        <v>199.99</v>
      </c>
      <c r="J121" s="2" t="s">
        <v>57</v>
      </c>
      <c r="K121" s="2" t="s">
        <v>63</v>
      </c>
      <c r="L121" s="2" t="s">
        <v>36</v>
      </c>
      <c r="M121" s="3">
        <v>44953</v>
      </c>
      <c r="N121" s="2">
        <v>199.99</v>
      </c>
    </row>
    <row r="122" spans="1:14" x14ac:dyDescent="0.25">
      <c r="A122" s="2" t="s">
        <v>261</v>
      </c>
      <c r="B122" s="3">
        <v>45566</v>
      </c>
      <c r="C122" s="2" t="s">
        <v>42</v>
      </c>
      <c r="D122" s="2" t="s">
        <v>43</v>
      </c>
      <c r="E122" s="2" t="s">
        <v>105</v>
      </c>
      <c r="F122" s="2" t="s">
        <v>106</v>
      </c>
      <c r="G122" s="2" t="s">
        <v>46</v>
      </c>
      <c r="H122" s="2">
        <v>4</v>
      </c>
      <c r="I122" s="2">
        <v>299.99</v>
      </c>
      <c r="J122" s="2" t="s">
        <v>20</v>
      </c>
      <c r="K122" s="2" t="s">
        <v>21</v>
      </c>
      <c r="L122" s="2" t="s">
        <v>27</v>
      </c>
      <c r="M122" s="3">
        <v>44460</v>
      </c>
      <c r="N122" s="2">
        <v>1199.96</v>
      </c>
    </row>
    <row r="123" spans="1:14" x14ac:dyDescent="0.25">
      <c r="A123" s="2" t="s">
        <v>262</v>
      </c>
      <c r="B123" s="3">
        <v>45572</v>
      </c>
      <c r="C123" s="2" t="s">
        <v>89</v>
      </c>
      <c r="D123" s="2" t="s">
        <v>90</v>
      </c>
      <c r="E123" s="2" t="s">
        <v>31</v>
      </c>
      <c r="F123" s="2" t="s">
        <v>32</v>
      </c>
      <c r="G123" s="2" t="s">
        <v>33</v>
      </c>
      <c r="H123" s="2">
        <v>2</v>
      </c>
      <c r="I123" s="2">
        <v>59.99</v>
      </c>
      <c r="J123" s="2" t="s">
        <v>26</v>
      </c>
      <c r="K123" s="2" t="s">
        <v>21</v>
      </c>
      <c r="L123" s="2" t="s">
        <v>22</v>
      </c>
      <c r="M123" s="3">
        <v>44579</v>
      </c>
      <c r="N123" s="2">
        <v>119.98</v>
      </c>
    </row>
    <row r="124" spans="1:14" x14ac:dyDescent="0.25">
      <c r="A124" s="2" t="s">
        <v>263</v>
      </c>
      <c r="B124" s="3">
        <v>45572</v>
      </c>
      <c r="C124" s="2" t="s">
        <v>234</v>
      </c>
      <c r="D124" s="2" t="s">
        <v>235</v>
      </c>
      <c r="E124" s="2" t="s">
        <v>52</v>
      </c>
      <c r="F124" s="2" t="s">
        <v>53</v>
      </c>
      <c r="G124" s="2" t="s">
        <v>19</v>
      </c>
      <c r="H124" s="2">
        <v>4</v>
      </c>
      <c r="I124" s="2">
        <v>149.99</v>
      </c>
      <c r="J124" s="2" t="s">
        <v>26</v>
      </c>
      <c r="K124" s="2" t="s">
        <v>40</v>
      </c>
      <c r="L124" s="2" t="s">
        <v>27</v>
      </c>
      <c r="M124" s="3">
        <v>45076</v>
      </c>
      <c r="N124" s="2">
        <v>599.96</v>
      </c>
    </row>
    <row r="125" spans="1:14" x14ac:dyDescent="0.25">
      <c r="A125" s="2" t="s">
        <v>264</v>
      </c>
      <c r="B125" s="3">
        <v>45573</v>
      </c>
      <c r="C125" s="2" t="s">
        <v>211</v>
      </c>
      <c r="D125" s="2" t="s">
        <v>212</v>
      </c>
      <c r="E125" s="2" t="s">
        <v>80</v>
      </c>
      <c r="F125" s="2" t="s">
        <v>81</v>
      </c>
      <c r="G125" s="2" t="s">
        <v>19</v>
      </c>
      <c r="H125" s="2">
        <v>2</v>
      </c>
      <c r="I125" s="2">
        <v>699.99</v>
      </c>
      <c r="J125" s="2" t="s">
        <v>57</v>
      </c>
      <c r="K125" s="2" t="s">
        <v>63</v>
      </c>
      <c r="L125" s="2" t="s">
        <v>27</v>
      </c>
      <c r="M125" s="3">
        <v>45274</v>
      </c>
      <c r="N125" s="2">
        <v>1399.98</v>
      </c>
    </row>
    <row r="126" spans="1:14" x14ac:dyDescent="0.25">
      <c r="A126" s="2" t="s">
        <v>265</v>
      </c>
      <c r="B126" s="3">
        <v>45573</v>
      </c>
      <c r="C126" s="2" t="s">
        <v>231</v>
      </c>
      <c r="D126" s="2" t="s">
        <v>232</v>
      </c>
      <c r="E126" s="2" t="s">
        <v>44</v>
      </c>
      <c r="F126" s="2" t="s">
        <v>45</v>
      </c>
      <c r="G126" s="2" t="s">
        <v>46</v>
      </c>
      <c r="H126" s="2">
        <v>3</v>
      </c>
      <c r="I126" s="2">
        <v>149.99</v>
      </c>
      <c r="J126" s="2" t="s">
        <v>26</v>
      </c>
      <c r="K126" s="2" t="s">
        <v>35</v>
      </c>
      <c r="L126" s="2" t="s">
        <v>36</v>
      </c>
      <c r="M126" s="3">
        <v>44940</v>
      </c>
      <c r="N126" s="2">
        <v>449.97</v>
      </c>
    </row>
    <row r="127" spans="1:14" x14ac:dyDescent="0.25">
      <c r="A127" s="2" t="s">
        <v>266</v>
      </c>
      <c r="B127" s="3">
        <v>45576</v>
      </c>
      <c r="C127" s="2" t="s">
        <v>147</v>
      </c>
      <c r="D127" s="2" t="s">
        <v>148</v>
      </c>
      <c r="E127" s="2" t="s">
        <v>105</v>
      </c>
      <c r="F127" s="2" t="s">
        <v>106</v>
      </c>
      <c r="G127" s="2" t="s">
        <v>46</v>
      </c>
      <c r="H127" s="2">
        <v>3</v>
      </c>
      <c r="I127" s="2">
        <v>299.99</v>
      </c>
      <c r="J127" s="2" t="s">
        <v>26</v>
      </c>
      <c r="K127" s="2" t="s">
        <v>21</v>
      </c>
      <c r="L127" s="2" t="s">
        <v>36</v>
      </c>
      <c r="M127" s="3">
        <v>45174</v>
      </c>
      <c r="N127" s="2">
        <v>899.97</v>
      </c>
    </row>
    <row r="128" spans="1:14" x14ac:dyDescent="0.25">
      <c r="A128" s="2" t="s">
        <v>267</v>
      </c>
      <c r="B128" s="3">
        <v>45579</v>
      </c>
      <c r="C128" s="2" t="s">
        <v>83</v>
      </c>
      <c r="D128" s="2" t="s">
        <v>84</v>
      </c>
      <c r="E128" s="2" t="s">
        <v>61</v>
      </c>
      <c r="F128" s="2" t="s">
        <v>62</v>
      </c>
      <c r="G128" s="2" t="s">
        <v>19</v>
      </c>
      <c r="H128" s="2">
        <v>3</v>
      </c>
      <c r="I128" s="2">
        <v>899.99</v>
      </c>
      <c r="J128" s="2" t="s">
        <v>34</v>
      </c>
      <c r="K128" s="2" t="s">
        <v>50</v>
      </c>
      <c r="L128" s="2" t="s">
        <v>22</v>
      </c>
      <c r="M128" s="3">
        <v>45215</v>
      </c>
      <c r="N128" s="2">
        <v>2699.97</v>
      </c>
    </row>
    <row r="129" spans="1:14" x14ac:dyDescent="0.25">
      <c r="A129" s="2" t="s">
        <v>268</v>
      </c>
      <c r="B129" s="3">
        <v>45581</v>
      </c>
      <c r="C129" s="2" t="s">
        <v>96</v>
      </c>
      <c r="D129" s="2" t="s">
        <v>97</v>
      </c>
      <c r="E129" s="2" t="s">
        <v>80</v>
      </c>
      <c r="F129" s="2" t="s">
        <v>81</v>
      </c>
      <c r="G129" s="2" t="s">
        <v>19</v>
      </c>
      <c r="H129" s="2">
        <v>5</v>
      </c>
      <c r="I129" s="2">
        <v>699.99</v>
      </c>
      <c r="J129" s="2" t="s">
        <v>20</v>
      </c>
      <c r="K129" s="2" t="s">
        <v>63</v>
      </c>
      <c r="L129" s="2" t="s">
        <v>36</v>
      </c>
      <c r="M129" s="3">
        <v>45008</v>
      </c>
      <c r="N129" s="2">
        <v>3499.95</v>
      </c>
    </row>
    <row r="130" spans="1:14" x14ac:dyDescent="0.25">
      <c r="A130" s="2" t="s">
        <v>269</v>
      </c>
      <c r="B130" s="3">
        <v>45581</v>
      </c>
      <c r="C130" s="2" t="s">
        <v>171</v>
      </c>
      <c r="D130" s="2" t="s">
        <v>172</v>
      </c>
      <c r="E130" s="2" t="s">
        <v>80</v>
      </c>
      <c r="F130" s="2" t="s">
        <v>81</v>
      </c>
      <c r="G130" s="2" t="s">
        <v>19</v>
      </c>
      <c r="H130" s="2">
        <v>4</v>
      </c>
      <c r="I130" s="2">
        <v>699.99</v>
      </c>
      <c r="J130" s="2" t="s">
        <v>26</v>
      </c>
      <c r="K130" s="2" t="s">
        <v>21</v>
      </c>
      <c r="L130" s="2" t="s">
        <v>22</v>
      </c>
      <c r="M130" s="3">
        <v>45385</v>
      </c>
      <c r="N130" s="2">
        <v>2799.96</v>
      </c>
    </row>
    <row r="131" spans="1:14" x14ac:dyDescent="0.25">
      <c r="A131" s="2" t="s">
        <v>270</v>
      </c>
      <c r="B131" s="3">
        <v>45581</v>
      </c>
      <c r="C131" s="2" t="s">
        <v>150</v>
      </c>
      <c r="D131" s="2" t="s">
        <v>151</v>
      </c>
      <c r="E131" s="2" t="s">
        <v>61</v>
      </c>
      <c r="F131" s="2" t="s">
        <v>62</v>
      </c>
      <c r="G131" s="2" t="s">
        <v>19</v>
      </c>
      <c r="H131" s="2">
        <v>1</v>
      </c>
      <c r="I131" s="2">
        <v>899.99</v>
      </c>
      <c r="J131" s="2" t="s">
        <v>26</v>
      </c>
      <c r="K131" s="2" t="s">
        <v>63</v>
      </c>
      <c r="L131" s="2" t="s">
        <v>36</v>
      </c>
      <c r="M131" s="3">
        <v>45369</v>
      </c>
      <c r="N131" s="2">
        <v>899.99</v>
      </c>
    </row>
    <row r="132" spans="1:14" x14ac:dyDescent="0.25">
      <c r="A132" s="2" t="s">
        <v>271</v>
      </c>
      <c r="B132" s="3">
        <v>45583</v>
      </c>
      <c r="C132" s="2" t="s">
        <v>226</v>
      </c>
      <c r="D132" s="2" t="s">
        <v>227</v>
      </c>
      <c r="E132" s="2" t="s">
        <v>52</v>
      </c>
      <c r="F132" s="2" t="s">
        <v>53</v>
      </c>
      <c r="G132" s="2" t="s">
        <v>19</v>
      </c>
      <c r="H132" s="2">
        <v>2</v>
      </c>
      <c r="I132" s="2">
        <v>149.99</v>
      </c>
      <c r="J132" s="2" t="s">
        <v>26</v>
      </c>
      <c r="K132" s="2" t="s">
        <v>50</v>
      </c>
      <c r="L132" s="2" t="s">
        <v>22</v>
      </c>
      <c r="M132" s="3">
        <v>44916</v>
      </c>
      <c r="N132" s="2">
        <v>299.98</v>
      </c>
    </row>
    <row r="133" spans="1:14" x14ac:dyDescent="0.25">
      <c r="A133" s="2" t="s">
        <v>272</v>
      </c>
      <c r="B133" s="3">
        <v>45586</v>
      </c>
      <c r="C133" s="2" t="s">
        <v>226</v>
      </c>
      <c r="D133" s="2" t="s">
        <v>227</v>
      </c>
      <c r="E133" s="2" t="s">
        <v>117</v>
      </c>
      <c r="F133" s="2" t="s">
        <v>118</v>
      </c>
      <c r="G133" s="2" t="s">
        <v>19</v>
      </c>
      <c r="H133" s="2">
        <v>3</v>
      </c>
      <c r="I133" s="2">
        <v>89.99</v>
      </c>
      <c r="J133" s="2" t="s">
        <v>34</v>
      </c>
      <c r="K133" s="2" t="s">
        <v>21</v>
      </c>
      <c r="L133" s="2" t="s">
        <v>22</v>
      </c>
      <c r="M133" s="3">
        <v>44551</v>
      </c>
      <c r="N133" s="2">
        <v>269.97000000000003</v>
      </c>
    </row>
    <row r="134" spans="1:14" x14ac:dyDescent="0.25">
      <c r="A134" s="2" t="s">
        <v>273</v>
      </c>
      <c r="B134" s="3">
        <v>45588</v>
      </c>
      <c r="C134" s="2" t="s">
        <v>38</v>
      </c>
      <c r="D134" s="2" t="s">
        <v>39</v>
      </c>
      <c r="E134" s="2" t="s">
        <v>52</v>
      </c>
      <c r="F134" s="2" t="s">
        <v>53</v>
      </c>
      <c r="G134" s="2" t="s">
        <v>19</v>
      </c>
      <c r="H134" s="2">
        <v>2</v>
      </c>
      <c r="I134" s="2">
        <v>149.99</v>
      </c>
      <c r="J134" s="2" t="s">
        <v>34</v>
      </c>
      <c r="K134" s="2" t="s">
        <v>21</v>
      </c>
      <c r="L134" s="2" t="s">
        <v>22</v>
      </c>
      <c r="M134" s="3">
        <v>44473</v>
      </c>
      <c r="N134" s="2">
        <v>299.98</v>
      </c>
    </row>
    <row r="135" spans="1:14" x14ac:dyDescent="0.25">
      <c r="A135" s="2" t="s">
        <v>274</v>
      </c>
      <c r="B135" s="3">
        <v>45588</v>
      </c>
      <c r="C135" s="2" t="s">
        <v>154</v>
      </c>
      <c r="D135" s="2" t="s">
        <v>155</v>
      </c>
      <c r="E135" s="2" t="s">
        <v>80</v>
      </c>
      <c r="F135" s="2" t="s">
        <v>81</v>
      </c>
      <c r="G135" s="2" t="s">
        <v>19</v>
      </c>
      <c r="H135" s="2">
        <v>2</v>
      </c>
      <c r="I135" s="2">
        <v>699.99</v>
      </c>
      <c r="J135" s="2" t="s">
        <v>20</v>
      </c>
      <c r="K135" s="2" t="s">
        <v>21</v>
      </c>
      <c r="L135" s="2" t="s">
        <v>22</v>
      </c>
      <c r="M135" s="3">
        <v>44992</v>
      </c>
      <c r="N135" s="2">
        <v>1399.98</v>
      </c>
    </row>
    <row r="136" spans="1:14" x14ac:dyDescent="0.25">
      <c r="A136" s="2" t="s">
        <v>275</v>
      </c>
      <c r="B136" s="3">
        <v>45589</v>
      </c>
      <c r="C136" s="2" t="s">
        <v>158</v>
      </c>
      <c r="D136" s="2" t="s">
        <v>159</v>
      </c>
      <c r="E136" s="2" t="s">
        <v>80</v>
      </c>
      <c r="F136" s="2" t="s">
        <v>81</v>
      </c>
      <c r="G136" s="2" t="s">
        <v>19</v>
      </c>
      <c r="H136" s="2">
        <v>5</v>
      </c>
      <c r="I136" s="2">
        <v>699.99</v>
      </c>
      <c r="J136" s="2" t="s">
        <v>20</v>
      </c>
      <c r="K136" s="2" t="s">
        <v>40</v>
      </c>
      <c r="L136" s="2" t="s">
        <v>27</v>
      </c>
      <c r="M136" s="3">
        <v>44635</v>
      </c>
      <c r="N136" s="2">
        <v>3499.95</v>
      </c>
    </row>
    <row r="137" spans="1:14" x14ac:dyDescent="0.25">
      <c r="A137" s="2" t="s">
        <v>276</v>
      </c>
      <c r="B137" s="3">
        <v>45592</v>
      </c>
      <c r="C137" s="2" t="s">
        <v>171</v>
      </c>
      <c r="D137" s="2" t="s">
        <v>172</v>
      </c>
      <c r="E137" s="2" t="s">
        <v>117</v>
      </c>
      <c r="F137" s="2" t="s">
        <v>118</v>
      </c>
      <c r="G137" s="2" t="s">
        <v>19</v>
      </c>
      <c r="H137" s="2">
        <v>3</v>
      </c>
      <c r="I137" s="2">
        <v>89.99</v>
      </c>
      <c r="J137" s="2" t="s">
        <v>26</v>
      </c>
      <c r="K137" s="2" t="s">
        <v>40</v>
      </c>
      <c r="L137" s="2" t="s">
        <v>36</v>
      </c>
      <c r="M137" s="3">
        <v>44615</v>
      </c>
      <c r="N137" s="2">
        <v>269.97000000000003</v>
      </c>
    </row>
    <row r="138" spans="1:14" x14ac:dyDescent="0.25">
      <c r="A138" s="2" t="s">
        <v>277</v>
      </c>
      <c r="B138" s="3">
        <v>45597</v>
      </c>
      <c r="C138" s="2" t="s">
        <v>15</v>
      </c>
      <c r="D138" s="2" t="s">
        <v>16</v>
      </c>
      <c r="E138" s="2" t="s">
        <v>17</v>
      </c>
      <c r="F138" s="2" t="s">
        <v>18</v>
      </c>
      <c r="G138" s="2" t="s">
        <v>19</v>
      </c>
      <c r="H138" s="2">
        <v>5</v>
      </c>
      <c r="I138" s="2">
        <v>249.99</v>
      </c>
      <c r="J138" s="2" t="s">
        <v>26</v>
      </c>
      <c r="K138" s="2" t="s">
        <v>35</v>
      </c>
      <c r="L138" s="2" t="s">
        <v>36</v>
      </c>
      <c r="M138" s="3">
        <v>44881</v>
      </c>
      <c r="N138" s="2">
        <v>1249.95</v>
      </c>
    </row>
    <row r="139" spans="1:14" x14ac:dyDescent="0.25">
      <c r="A139" s="2" t="s">
        <v>278</v>
      </c>
      <c r="B139" s="3">
        <v>45600</v>
      </c>
      <c r="C139" s="2" t="s">
        <v>65</v>
      </c>
      <c r="D139" s="2" t="s">
        <v>66</v>
      </c>
      <c r="E139" s="2" t="s">
        <v>105</v>
      </c>
      <c r="F139" s="2" t="s">
        <v>106</v>
      </c>
      <c r="G139" s="2" t="s">
        <v>46</v>
      </c>
      <c r="H139" s="2">
        <v>3</v>
      </c>
      <c r="I139" s="2">
        <v>299.99</v>
      </c>
      <c r="J139" s="2" t="s">
        <v>26</v>
      </c>
      <c r="K139" s="2" t="s">
        <v>35</v>
      </c>
      <c r="L139" s="2" t="s">
        <v>36</v>
      </c>
      <c r="M139" s="3">
        <v>44502</v>
      </c>
      <c r="N139" s="2">
        <v>899.97</v>
      </c>
    </row>
    <row r="140" spans="1:14" x14ac:dyDescent="0.25">
      <c r="A140" s="2" t="s">
        <v>279</v>
      </c>
      <c r="B140" s="3">
        <v>45603</v>
      </c>
      <c r="C140" s="2" t="s">
        <v>99</v>
      </c>
      <c r="D140" s="2" t="s">
        <v>100</v>
      </c>
      <c r="E140" s="2" t="s">
        <v>117</v>
      </c>
      <c r="F140" s="2" t="s">
        <v>118</v>
      </c>
      <c r="G140" s="2" t="s">
        <v>19</v>
      </c>
      <c r="H140" s="2">
        <v>3</v>
      </c>
      <c r="I140" s="2">
        <v>89.99</v>
      </c>
      <c r="J140" s="2" t="s">
        <v>26</v>
      </c>
      <c r="K140" s="2" t="s">
        <v>40</v>
      </c>
      <c r="L140" s="2" t="s">
        <v>27</v>
      </c>
      <c r="M140" s="3">
        <v>44420</v>
      </c>
      <c r="N140" s="2">
        <v>269.97000000000003</v>
      </c>
    </row>
    <row r="141" spans="1:14" x14ac:dyDescent="0.25">
      <c r="A141" s="2" t="s">
        <v>280</v>
      </c>
      <c r="B141" s="3">
        <v>45604</v>
      </c>
      <c r="C141" s="2" t="s">
        <v>89</v>
      </c>
      <c r="D141" s="2" t="s">
        <v>90</v>
      </c>
      <c r="E141" s="2" t="s">
        <v>44</v>
      </c>
      <c r="F141" s="2" t="s">
        <v>45</v>
      </c>
      <c r="G141" s="2" t="s">
        <v>46</v>
      </c>
      <c r="H141" s="2">
        <v>2</v>
      </c>
      <c r="I141" s="2">
        <v>149.99</v>
      </c>
      <c r="J141" s="2" t="s">
        <v>26</v>
      </c>
      <c r="K141" s="2" t="s">
        <v>50</v>
      </c>
      <c r="L141" s="2" t="s">
        <v>27</v>
      </c>
      <c r="M141" s="3">
        <v>44848</v>
      </c>
      <c r="N141" s="2">
        <v>299.98</v>
      </c>
    </row>
    <row r="142" spans="1:14" x14ac:dyDescent="0.25">
      <c r="A142" s="2" t="s">
        <v>281</v>
      </c>
      <c r="B142" s="3">
        <v>45605</v>
      </c>
      <c r="C142" s="2" t="s">
        <v>185</v>
      </c>
      <c r="D142" s="2" t="s">
        <v>186</v>
      </c>
      <c r="E142" s="2" t="s">
        <v>17</v>
      </c>
      <c r="F142" s="2" t="s">
        <v>18</v>
      </c>
      <c r="G142" s="2" t="s">
        <v>19</v>
      </c>
      <c r="H142" s="2">
        <v>1</v>
      </c>
      <c r="I142" s="2">
        <v>249.99</v>
      </c>
      <c r="J142" s="2" t="s">
        <v>26</v>
      </c>
      <c r="K142" s="2" t="s">
        <v>40</v>
      </c>
      <c r="L142" s="2" t="s">
        <v>27</v>
      </c>
      <c r="M142" s="3">
        <v>44828</v>
      </c>
      <c r="N142" s="2">
        <v>249.99</v>
      </c>
    </row>
    <row r="143" spans="1:14" x14ac:dyDescent="0.25">
      <c r="A143" s="2" t="s">
        <v>282</v>
      </c>
      <c r="B143" s="3">
        <v>45607</v>
      </c>
      <c r="C143" s="2" t="s">
        <v>72</v>
      </c>
      <c r="D143" s="2" t="s">
        <v>73</v>
      </c>
      <c r="E143" s="2" t="s">
        <v>52</v>
      </c>
      <c r="F143" s="2" t="s">
        <v>53</v>
      </c>
      <c r="G143" s="2" t="s">
        <v>19</v>
      </c>
      <c r="H143" s="2">
        <v>3</v>
      </c>
      <c r="I143" s="2">
        <v>149.99</v>
      </c>
      <c r="J143" s="2" t="s">
        <v>20</v>
      </c>
      <c r="K143" s="2" t="s">
        <v>40</v>
      </c>
      <c r="L143" s="2" t="s">
        <v>22</v>
      </c>
      <c r="M143" s="3">
        <v>44769</v>
      </c>
      <c r="N143" s="2">
        <v>449.97</v>
      </c>
    </row>
    <row r="144" spans="1:14" x14ac:dyDescent="0.25">
      <c r="A144" s="2" t="s">
        <v>283</v>
      </c>
      <c r="B144" s="3">
        <v>45607</v>
      </c>
      <c r="C144" s="2" t="s">
        <v>15</v>
      </c>
      <c r="D144" s="2" t="s">
        <v>16</v>
      </c>
      <c r="E144" s="2" t="s">
        <v>31</v>
      </c>
      <c r="F144" s="2" t="s">
        <v>32</v>
      </c>
      <c r="G144" s="2" t="s">
        <v>33</v>
      </c>
      <c r="H144" s="2">
        <v>5</v>
      </c>
      <c r="I144" s="2">
        <v>59.99</v>
      </c>
      <c r="J144" s="2" t="s">
        <v>34</v>
      </c>
      <c r="K144" s="2" t="s">
        <v>50</v>
      </c>
      <c r="L144" s="2" t="s">
        <v>27</v>
      </c>
      <c r="M144" s="3">
        <v>44694</v>
      </c>
      <c r="N144" s="2">
        <v>299.95</v>
      </c>
    </row>
    <row r="145" spans="1:14" x14ac:dyDescent="0.25">
      <c r="A145" s="2" t="s">
        <v>284</v>
      </c>
      <c r="B145" s="3">
        <v>45607</v>
      </c>
      <c r="C145" s="2" t="s">
        <v>99</v>
      </c>
      <c r="D145" s="2" t="s">
        <v>100</v>
      </c>
      <c r="E145" s="2" t="s">
        <v>17</v>
      </c>
      <c r="F145" s="2" t="s">
        <v>18</v>
      </c>
      <c r="G145" s="2" t="s">
        <v>19</v>
      </c>
      <c r="H145" s="2">
        <v>4</v>
      </c>
      <c r="I145" s="2">
        <v>249.99</v>
      </c>
      <c r="J145" s="2" t="s">
        <v>26</v>
      </c>
      <c r="K145" s="2" t="s">
        <v>50</v>
      </c>
      <c r="L145" s="2" t="s">
        <v>36</v>
      </c>
      <c r="M145" s="3">
        <v>44659</v>
      </c>
      <c r="N145" s="2">
        <v>999.96</v>
      </c>
    </row>
    <row r="146" spans="1:14" x14ac:dyDescent="0.25">
      <c r="A146" s="2" t="s">
        <v>285</v>
      </c>
      <c r="B146" s="3">
        <v>45608</v>
      </c>
      <c r="C146" s="2" t="s">
        <v>154</v>
      </c>
      <c r="D146" s="2" t="s">
        <v>155</v>
      </c>
      <c r="E146" s="2" t="s">
        <v>44</v>
      </c>
      <c r="F146" s="2" t="s">
        <v>45</v>
      </c>
      <c r="G146" s="2" t="s">
        <v>46</v>
      </c>
      <c r="H146" s="2">
        <v>5</v>
      </c>
      <c r="I146" s="2">
        <v>149.99</v>
      </c>
      <c r="J146" s="2" t="s">
        <v>34</v>
      </c>
      <c r="K146" s="2" t="s">
        <v>21</v>
      </c>
      <c r="L146" s="2" t="s">
        <v>22</v>
      </c>
      <c r="M146" s="3">
        <v>44901</v>
      </c>
      <c r="N146" s="2">
        <v>749.95</v>
      </c>
    </row>
    <row r="147" spans="1:14" x14ac:dyDescent="0.25">
      <c r="A147" s="2" t="s">
        <v>286</v>
      </c>
      <c r="B147" s="3">
        <v>45608</v>
      </c>
      <c r="C147" s="2" t="s">
        <v>83</v>
      </c>
      <c r="D147" s="2" t="s">
        <v>84</v>
      </c>
      <c r="E147" s="2" t="s">
        <v>31</v>
      </c>
      <c r="F147" s="2" t="s">
        <v>32</v>
      </c>
      <c r="G147" s="2" t="s">
        <v>33</v>
      </c>
      <c r="H147" s="2">
        <v>3</v>
      </c>
      <c r="I147" s="2">
        <v>59.99</v>
      </c>
      <c r="J147" s="2" t="s">
        <v>57</v>
      </c>
      <c r="K147" s="2" t="s">
        <v>35</v>
      </c>
      <c r="L147" s="2" t="s">
        <v>36</v>
      </c>
      <c r="M147" s="3">
        <v>45260</v>
      </c>
      <c r="N147" s="2">
        <v>179.97</v>
      </c>
    </row>
    <row r="148" spans="1:14" x14ac:dyDescent="0.25">
      <c r="A148" s="2" t="s">
        <v>287</v>
      </c>
      <c r="B148" s="3">
        <v>45613</v>
      </c>
      <c r="C148" s="2" t="s">
        <v>234</v>
      </c>
      <c r="D148" s="2" t="s">
        <v>235</v>
      </c>
      <c r="E148" s="2" t="s">
        <v>44</v>
      </c>
      <c r="F148" s="2" t="s">
        <v>45</v>
      </c>
      <c r="G148" s="2" t="s">
        <v>46</v>
      </c>
      <c r="H148" s="2">
        <v>5</v>
      </c>
      <c r="I148" s="2">
        <v>149.99</v>
      </c>
      <c r="J148" s="2" t="s">
        <v>20</v>
      </c>
      <c r="K148" s="2" t="s">
        <v>40</v>
      </c>
      <c r="L148" s="2" t="s">
        <v>22</v>
      </c>
      <c r="M148" s="3">
        <v>44869</v>
      </c>
      <c r="N148" s="2">
        <v>749.95</v>
      </c>
    </row>
    <row r="149" spans="1:14" x14ac:dyDescent="0.25">
      <c r="A149" s="2" t="s">
        <v>288</v>
      </c>
      <c r="B149" s="3">
        <v>45613</v>
      </c>
      <c r="C149" s="2" t="s">
        <v>86</v>
      </c>
      <c r="D149" s="2" t="s">
        <v>87</v>
      </c>
      <c r="E149" s="2" t="s">
        <v>80</v>
      </c>
      <c r="F149" s="2" t="s">
        <v>81</v>
      </c>
      <c r="G149" s="2" t="s">
        <v>19</v>
      </c>
      <c r="H149" s="2">
        <v>2</v>
      </c>
      <c r="I149" s="2">
        <v>699.99</v>
      </c>
      <c r="J149" s="2" t="s">
        <v>34</v>
      </c>
      <c r="K149" s="2" t="s">
        <v>50</v>
      </c>
      <c r="L149" s="2" t="s">
        <v>36</v>
      </c>
      <c r="M149" s="3">
        <v>44770</v>
      </c>
      <c r="N149" s="2">
        <v>1399.98</v>
      </c>
    </row>
    <row r="150" spans="1:14" x14ac:dyDescent="0.25">
      <c r="A150" s="2" t="s">
        <v>289</v>
      </c>
      <c r="B150" s="3">
        <v>45617</v>
      </c>
      <c r="C150" s="2" t="s">
        <v>123</v>
      </c>
      <c r="D150" s="2" t="s">
        <v>124</v>
      </c>
      <c r="E150" s="2" t="s">
        <v>126</v>
      </c>
      <c r="F150" s="2" t="s">
        <v>127</v>
      </c>
      <c r="G150" s="2" t="s">
        <v>46</v>
      </c>
      <c r="H150" s="2">
        <v>4</v>
      </c>
      <c r="I150" s="2">
        <v>199.99</v>
      </c>
      <c r="J150" s="2" t="s">
        <v>57</v>
      </c>
      <c r="K150" s="2" t="s">
        <v>21</v>
      </c>
      <c r="L150" s="2" t="s">
        <v>27</v>
      </c>
      <c r="M150" s="3">
        <v>44427</v>
      </c>
      <c r="N150" s="2">
        <v>799.96</v>
      </c>
    </row>
    <row r="151" spans="1:14" x14ac:dyDescent="0.25">
      <c r="A151" s="2" t="s">
        <v>290</v>
      </c>
      <c r="B151" s="3">
        <v>45619</v>
      </c>
      <c r="C151" s="2" t="s">
        <v>192</v>
      </c>
      <c r="D151" s="2" t="s">
        <v>193</v>
      </c>
      <c r="E151" s="2" t="s">
        <v>31</v>
      </c>
      <c r="F151" s="2" t="s">
        <v>32</v>
      </c>
      <c r="G151" s="2" t="s">
        <v>33</v>
      </c>
      <c r="H151" s="2">
        <v>1</v>
      </c>
      <c r="I151" s="2">
        <v>59.99</v>
      </c>
      <c r="J151" s="2" t="s">
        <v>57</v>
      </c>
      <c r="K151" s="2" t="s">
        <v>50</v>
      </c>
      <c r="L151" s="2" t="s">
        <v>36</v>
      </c>
      <c r="M151" s="3">
        <v>44560</v>
      </c>
      <c r="N151" s="2">
        <v>59.99</v>
      </c>
    </row>
    <row r="152" spans="1:14" x14ac:dyDescent="0.25">
      <c r="A152" s="2" t="s">
        <v>291</v>
      </c>
      <c r="B152" s="3">
        <v>45619</v>
      </c>
      <c r="C152" s="2" t="s">
        <v>154</v>
      </c>
      <c r="D152" s="2" t="s">
        <v>155</v>
      </c>
      <c r="E152" s="2" t="s">
        <v>80</v>
      </c>
      <c r="F152" s="2" t="s">
        <v>81</v>
      </c>
      <c r="G152" s="2" t="s">
        <v>19</v>
      </c>
      <c r="H152" s="2">
        <v>3</v>
      </c>
      <c r="I152" s="2">
        <v>699.99</v>
      </c>
      <c r="J152" s="2" t="s">
        <v>34</v>
      </c>
      <c r="K152" s="2" t="s">
        <v>50</v>
      </c>
      <c r="L152" s="2" t="s">
        <v>36</v>
      </c>
      <c r="M152" s="3">
        <v>44583</v>
      </c>
      <c r="N152" s="2">
        <v>2099.9699999999998</v>
      </c>
    </row>
    <row r="153" spans="1:14" x14ac:dyDescent="0.25">
      <c r="A153" s="2" t="s">
        <v>292</v>
      </c>
      <c r="B153" s="3">
        <v>45622</v>
      </c>
      <c r="C153" s="2" t="s">
        <v>293</v>
      </c>
      <c r="D153" s="2" t="s">
        <v>294</v>
      </c>
      <c r="E153" s="2" t="s">
        <v>17</v>
      </c>
      <c r="F153" s="2" t="s">
        <v>18</v>
      </c>
      <c r="G153" s="2" t="s">
        <v>19</v>
      </c>
      <c r="H153" s="2">
        <v>5</v>
      </c>
      <c r="I153" s="2">
        <v>249.99</v>
      </c>
      <c r="J153" s="2" t="s">
        <v>26</v>
      </c>
      <c r="K153" s="2" t="s">
        <v>40</v>
      </c>
      <c r="L153" s="2" t="s">
        <v>22</v>
      </c>
      <c r="M153" s="3">
        <v>44873</v>
      </c>
      <c r="N153" s="2">
        <v>1249.95</v>
      </c>
    </row>
    <row r="154" spans="1:14" x14ac:dyDescent="0.25">
      <c r="A154" s="2" t="s">
        <v>295</v>
      </c>
      <c r="B154" s="3">
        <v>45623</v>
      </c>
      <c r="C154" s="2" t="s">
        <v>112</v>
      </c>
      <c r="D154" s="2" t="s">
        <v>113</v>
      </c>
      <c r="E154" s="2" t="s">
        <v>44</v>
      </c>
      <c r="F154" s="2" t="s">
        <v>45</v>
      </c>
      <c r="G154" s="2" t="s">
        <v>46</v>
      </c>
      <c r="H154" s="2">
        <v>2</v>
      </c>
      <c r="I154" s="2">
        <v>149.99</v>
      </c>
      <c r="J154" s="2" t="s">
        <v>20</v>
      </c>
      <c r="K154" s="2" t="s">
        <v>35</v>
      </c>
      <c r="L154" s="2" t="s">
        <v>36</v>
      </c>
      <c r="M154" s="3">
        <v>45101</v>
      </c>
      <c r="N154" s="2">
        <v>299.98</v>
      </c>
    </row>
    <row r="155" spans="1:14" x14ac:dyDescent="0.25">
      <c r="A155" s="2" t="s">
        <v>296</v>
      </c>
      <c r="B155" s="3">
        <v>45627</v>
      </c>
      <c r="C155" s="2" t="s">
        <v>29</v>
      </c>
      <c r="D155" s="2" t="s">
        <v>30</v>
      </c>
      <c r="E155" s="2" t="s">
        <v>105</v>
      </c>
      <c r="F155" s="2" t="s">
        <v>106</v>
      </c>
      <c r="G155" s="2" t="s">
        <v>46</v>
      </c>
      <c r="H155" s="2">
        <v>3</v>
      </c>
      <c r="I155" s="2">
        <v>299.99</v>
      </c>
      <c r="J155" s="2" t="s">
        <v>20</v>
      </c>
      <c r="K155" s="2" t="s">
        <v>35</v>
      </c>
      <c r="L155" s="2" t="s">
        <v>27</v>
      </c>
      <c r="M155" s="3">
        <v>44659</v>
      </c>
      <c r="N155" s="2">
        <v>899.97</v>
      </c>
    </row>
    <row r="156" spans="1:14" x14ac:dyDescent="0.25">
      <c r="A156" s="2" t="s">
        <v>297</v>
      </c>
      <c r="B156" s="3">
        <v>45627</v>
      </c>
      <c r="C156" s="2" t="s">
        <v>55</v>
      </c>
      <c r="D156" s="2" t="s">
        <v>56</v>
      </c>
      <c r="E156" s="2" t="s">
        <v>17</v>
      </c>
      <c r="F156" s="2" t="s">
        <v>18</v>
      </c>
      <c r="G156" s="2" t="s">
        <v>19</v>
      </c>
      <c r="H156" s="2">
        <v>5</v>
      </c>
      <c r="I156" s="2">
        <v>249.99</v>
      </c>
      <c r="J156" s="2" t="s">
        <v>20</v>
      </c>
      <c r="K156" s="2" t="s">
        <v>21</v>
      </c>
      <c r="L156" s="2" t="s">
        <v>27</v>
      </c>
      <c r="M156" s="3">
        <v>44485</v>
      </c>
      <c r="N156" s="2">
        <v>1249.95</v>
      </c>
    </row>
    <row r="157" spans="1:14" x14ac:dyDescent="0.25">
      <c r="A157" s="2" t="s">
        <v>298</v>
      </c>
      <c r="B157" s="3">
        <v>45627</v>
      </c>
      <c r="C157" s="2" t="s">
        <v>24</v>
      </c>
      <c r="D157" s="2" t="s">
        <v>25</v>
      </c>
      <c r="E157" s="2" t="s">
        <v>52</v>
      </c>
      <c r="F157" s="2" t="s">
        <v>53</v>
      </c>
      <c r="G157" s="2" t="s">
        <v>19</v>
      </c>
      <c r="H157" s="2">
        <v>2</v>
      </c>
      <c r="I157" s="2">
        <v>149.99</v>
      </c>
      <c r="J157" s="2" t="s">
        <v>20</v>
      </c>
      <c r="K157" s="2" t="s">
        <v>35</v>
      </c>
      <c r="L157" s="2" t="s">
        <v>27</v>
      </c>
      <c r="M157" s="3">
        <v>44475</v>
      </c>
      <c r="N157" s="2">
        <v>299.98</v>
      </c>
    </row>
    <row r="158" spans="1:14" x14ac:dyDescent="0.25">
      <c r="A158" s="2" t="s">
        <v>299</v>
      </c>
      <c r="B158" s="3">
        <v>45627</v>
      </c>
      <c r="C158" s="2" t="s">
        <v>86</v>
      </c>
      <c r="D158" s="2" t="s">
        <v>87</v>
      </c>
      <c r="E158" s="2" t="s">
        <v>80</v>
      </c>
      <c r="F158" s="2" t="s">
        <v>81</v>
      </c>
      <c r="G158" s="2" t="s">
        <v>19</v>
      </c>
      <c r="H158" s="2">
        <v>5</v>
      </c>
      <c r="I158" s="2">
        <v>699.99</v>
      </c>
      <c r="J158" s="2" t="s">
        <v>57</v>
      </c>
      <c r="K158" s="2" t="s">
        <v>50</v>
      </c>
      <c r="L158" s="2" t="s">
        <v>36</v>
      </c>
      <c r="M158" s="3">
        <v>44944</v>
      </c>
      <c r="N158" s="2">
        <v>3499.95</v>
      </c>
    </row>
    <row r="159" spans="1:14" x14ac:dyDescent="0.25">
      <c r="A159" s="2" t="s">
        <v>300</v>
      </c>
      <c r="B159" s="3">
        <v>45629</v>
      </c>
      <c r="C159" s="2" t="s">
        <v>252</v>
      </c>
      <c r="D159" s="2" t="s">
        <v>253</v>
      </c>
      <c r="E159" s="2" t="s">
        <v>17</v>
      </c>
      <c r="F159" s="2" t="s">
        <v>18</v>
      </c>
      <c r="G159" s="2" t="s">
        <v>19</v>
      </c>
      <c r="H159" s="2">
        <v>4</v>
      </c>
      <c r="I159" s="2">
        <v>249.99</v>
      </c>
      <c r="J159" s="2" t="s">
        <v>34</v>
      </c>
      <c r="K159" s="2" t="s">
        <v>63</v>
      </c>
      <c r="L159" s="2" t="s">
        <v>27</v>
      </c>
      <c r="M159" s="3">
        <v>45098</v>
      </c>
      <c r="N159" s="2">
        <v>999.96</v>
      </c>
    </row>
    <row r="160" spans="1:14" x14ac:dyDescent="0.25">
      <c r="A160" s="2" t="s">
        <v>301</v>
      </c>
      <c r="B160" s="3">
        <v>45630</v>
      </c>
      <c r="C160" s="2" t="s">
        <v>48</v>
      </c>
      <c r="D160" s="2" t="s">
        <v>49</v>
      </c>
      <c r="E160" s="2" t="s">
        <v>80</v>
      </c>
      <c r="F160" s="2" t="s">
        <v>81</v>
      </c>
      <c r="G160" s="2" t="s">
        <v>19</v>
      </c>
      <c r="H160" s="2">
        <v>4</v>
      </c>
      <c r="I160" s="2">
        <v>699.99</v>
      </c>
      <c r="J160" s="2" t="s">
        <v>26</v>
      </c>
      <c r="K160" s="2" t="s">
        <v>40</v>
      </c>
      <c r="L160" s="2" t="s">
        <v>27</v>
      </c>
      <c r="M160" s="3">
        <v>44703</v>
      </c>
      <c r="N160" s="2">
        <v>2799.96</v>
      </c>
    </row>
    <row r="161" spans="1:14" x14ac:dyDescent="0.25">
      <c r="A161" s="2" t="s">
        <v>302</v>
      </c>
      <c r="B161" s="3">
        <v>45635</v>
      </c>
      <c r="C161" s="2" t="s">
        <v>108</v>
      </c>
      <c r="D161" s="2" t="s">
        <v>109</v>
      </c>
      <c r="E161" s="2" t="s">
        <v>17</v>
      </c>
      <c r="F161" s="2" t="s">
        <v>18</v>
      </c>
      <c r="G161" s="2" t="s">
        <v>19</v>
      </c>
      <c r="H161" s="2">
        <v>2</v>
      </c>
      <c r="I161" s="2">
        <v>249.99</v>
      </c>
      <c r="J161" s="2" t="s">
        <v>26</v>
      </c>
      <c r="K161" s="2" t="s">
        <v>21</v>
      </c>
      <c r="L161" s="2" t="s">
        <v>27</v>
      </c>
      <c r="M161" s="3">
        <v>44396</v>
      </c>
      <c r="N161" s="2">
        <v>499.98</v>
      </c>
    </row>
    <row r="162" spans="1:14" x14ac:dyDescent="0.25">
      <c r="A162" s="2" t="s">
        <v>303</v>
      </c>
      <c r="B162" s="3">
        <v>45635</v>
      </c>
      <c r="C162" s="2" t="s">
        <v>304</v>
      </c>
      <c r="D162" s="2" t="s">
        <v>305</v>
      </c>
      <c r="E162" s="2" t="s">
        <v>31</v>
      </c>
      <c r="F162" s="2" t="s">
        <v>32</v>
      </c>
      <c r="G162" s="2" t="s">
        <v>33</v>
      </c>
      <c r="H162" s="2">
        <v>3</v>
      </c>
      <c r="I162" s="2">
        <v>59.99</v>
      </c>
      <c r="J162" s="2" t="s">
        <v>20</v>
      </c>
      <c r="K162" s="2" t="s">
        <v>21</v>
      </c>
      <c r="L162" s="2" t="s">
        <v>27</v>
      </c>
      <c r="M162" s="3">
        <v>45052</v>
      </c>
      <c r="N162" s="2">
        <v>179.97</v>
      </c>
    </row>
    <row r="163" spans="1:14" x14ac:dyDescent="0.25">
      <c r="A163" s="2" t="s">
        <v>306</v>
      </c>
      <c r="B163" s="3">
        <v>45635</v>
      </c>
      <c r="C163" s="2" t="s">
        <v>141</v>
      </c>
      <c r="D163" s="2" t="s">
        <v>142</v>
      </c>
      <c r="E163" s="2" t="s">
        <v>114</v>
      </c>
      <c r="F163" s="2" t="s">
        <v>115</v>
      </c>
      <c r="G163" s="2" t="s">
        <v>33</v>
      </c>
      <c r="H163" s="2">
        <v>4</v>
      </c>
      <c r="I163" s="2">
        <v>79.989999999999995</v>
      </c>
      <c r="J163" s="2" t="s">
        <v>57</v>
      </c>
      <c r="K163" s="2" t="s">
        <v>63</v>
      </c>
      <c r="L163" s="2" t="s">
        <v>36</v>
      </c>
      <c r="M163" s="3">
        <v>44921</v>
      </c>
      <c r="N163" s="2">
        <v>319.95999999999998</v>
      </c>
    </row>
    <row r="164" spans="1:14" x14ac:dyDescent="0.25">
      <c r="A164" s="2" t="s">
        <v>307</v>
      </c>
      <c r="B164" s="3">
        <v>45636</v>
      </c>
      <c r="C164" s="2" t="s">
        <v>120</v>
      </c>
      <c r="D164" s="2" t="s">
        <v>121</v>
      </c>
      <c r="E164" s="2" t="s">
        <v>114</v>
      </c>
      <c r="F164" s="2" t="s">
        <v>115</v>
      </c>
      <c r="G164" s="2" t="s">
        <v>33</v>
      </c>
      <c r="H164" s="2">
        <v>3</v>
      </c>
      <c r="I164" s="2">
        <v>79.989999999999995</v>
      </c>
      <c r="J164" s="2" t="s">
        <v>57</v>
      </c>
      <c r="K164" s="2" t="s">
        <v>63</v>
      </c>
      <c r="L164" s="2" t="s">
        <v>36</v>
      </c>
      <c r="M164" s="3">
        <v>44779</v>
      </c>
      <c r="N164" s="2">
        <v>239.97</v>
      </c>
    </row>
    <row r="165" spans="1:14" x14ac:dyDescent="0.25">
      <c r="A165" s="2" t="s">
        <v>308</v>
      </c>
      <c r="B165" s="3">
        <v>45638</v>
      </c>
      <c r="C165" s="2" t="s">
        <v>72</v>
      </c>
      <c r="D165" s="2" t="s">
        <v>73</v>
      </c>
      <c r="E165" s="2" t="s">
        <v>61</v>
      </c>
      <c r="F165" s="2" t="s">
        <v>62</v>
      </c>
      <c r="G165" s="2" t="s">
        <v>19</v>
      </c>
      <c r="H165" s="2">
        <v>2</v>
      </c>
      <c r="I165" s="2">
        <v>899.99</v>
      </c>
      <c r="J165" s="2" t="s">
        <v>20</v>
      </c>
      <c r="K165" s="2" t="s">
        <v>40</v>
      </c>
      <c r="L165" s="2" t="s">
        <v>22</v>
      </c>
      <c r="M165" s="3">
        <v>44406</v>
      </c>
      <c r="N165" s="2">
        <v>1799.98</v>
      </c>
    </row>
    <row r="166" spans="1:14" x14ac:dyDescent="0.25">
      <c r="A166" s="2" t="s">
        <v>309</v>
      </c>
      <c r="B166" s="3">
        <v>45641</v>
      </c>
      <c r="C166" s="2" t="s">
        <v>182</v>
      </c>
      <c r="D166" s="2" t="s">
        <v>183</v>
      </c>
      <c r="E166" s="2" t="s">
        <v>44</v>
      </c>
      <c r="F166" s="2" t="s">
        <v>45</v>
      </c>
      <c r="G166" s="2" t="s">
        <v>46</v>
      </c>
      <c r="H166" s="2">
        <v>1</v>
      </c>
      <c r="I166" s="2">
        <v>149.99</v>
      </c>
      <c r="J166" s="2" t="s">
        <v>57</v>
      </c>
      <c r="K166" s="2" t="s">
        <v>63</v>
      </c>
      <c r="L166" s="2" t="s">
        <v>36</v>
      </c>
      <c r="M166" s="3">
        <v>45200</v>
      </c>
      <c r="N166" s="2">
        <v>149.99</v>
      </c>
    </row>
    <row r="167" spans="1:14" x14ac:dyDescent="0.25">
      <c r="A167" s="2" t="s">
        <v>310</v>
      </c>
      <c r="B167" s="3">
        <v>45641</v>
      </c>
      <c r="C167" s="2" t="s">
        <v>138</v>
      </c>
      <c r="D167" s="2" t="s">
        <v>139</v>
      </c>
      <c r="E167" s="2" t="s">
        <v>105</v>
      </c>
      <c r="F167" s="2" t="s">
        <v>106</v>
      </c>
      <c r="G167" s="2" t="s">
        <v>46</v>
      </c>
      <c r="H167" s="2">
        <v>2</v>
      </c>
      <c r="I167" s="2">
        <v>299.99</v>
      </c>
      <c r="J167" s="2" t="s">
        <v>20</v>
      </c>
      <c r="K167" s="2" t="s">
        <v>63</v>
      </c>
      <c r="L167" s="2" t="s">
        <v>27</v>
      </c>
      <c r="M167" s="3">
        <v>44724</v>
      </c>
      <c r="N167" s="2">
        <v>599.98</v>
      </c>
    </row>
    <row r="168" spans="1:14" x14ac:dyDescent="0.25">
      <c r="A168" s="2" t="s">
        <v>311</v>
      </c>
      <c r="B168" s="3">
        <v>45644</v>
      </c>
      <c r="C168" s="2" t="s">
        <v>132</v>
      </c>
      <c r="D168" s="2" t="s">
        <v>133</v>
      </c>
      <c r="E168" s="2" t="s">
        <v>31</v>
      </c>
      <c r="F168" s="2" t="s">
        <v>32</v>
      </c>
      <c r="G168" s="2" t="s">
        <v>33</v>
      </c>
      <c r="H168" s="2">
        <v>2</v>
      </c>
      <c r="I168" s="2">
        <v>59.99</v>
      </c>
      <c r="J168" s="2" t="s">
        <v>20</v>
      </c>
      <c r="K168" s="2" t="s">
        <v>50</v>
      </c>
      <c r="L168" s="2" t="s">
        <v>22</v>
      </c>
      <c r="M168" s="3">
        <v>45191</v>
      </c>
      <c r="N168" s="2">
        <v>119.98</v>
      </c>
    </row>
    <row r="169" spans="1:14" x14ac:dyDescent="0.25">
      <c r="A169" s="2" t="s">
        <v>312</v>
      </c>
      <c r="B169" s="3">
        <v>45645</v>
      </c>
      <c r="C169" s="2" t="s">
        <v>182</v>
      </c>
      <c r="D169" s="2" t="s">
        <v>183</v>
      </c>
      <c r="E169" s="2" t="s">
        <v>117</v>
      </c>
      <c r="F169" s="2" t="s">
        <v>118</v>
      </c>
      <c r="G169" s="2" t="s">
        <v>19</v>
      </c>
      <c r="H169" s="2">
        <v>1</v>
      </c>
      <c r="I169" s="2">
        <v>89.99</v>
      </c>
      <c r="J169" s="2" t="s">
        <v>57</v>
      </c>
      <c r="K169" s="2" t="s">
        <v>21</v>
      </c>
      <c r="L169" s="2" t="s">
        <v>36</v>
      </c>
      <c r="M169" s="3">
        <v>44760</v>
      </c>
      <c r="N169" s="2">
        <v>89.99</v>
      </c>
    </row>
    <row r="170" spans="1:14" x14ac:dyDescent="0.25">
      <c r="A170" s="2" t="s">
        <v>313</v>
      </c>
      <c r="B170" s="3">
        <v>45645</v>
      </c>
      <c r="C170" s="2" t="s">
        <v>147</v>
      </c>
      <c r="D170" s="2" t="s">
        <v>148</v>
      </c>
      <c r="E170" s="2" t="s">
        <v>61</v>
      </c>
      <c r="F170" s="2" t="s">
        <v>62</v>
      </c>
      <c r="G170" s="2" t="s">
        <v>19</v>
      </c>
      <c r="H170" s="2">
        <v>5</v>
      </c>
      <c r="I170" s="2">
        <v>899.99</v>
      </c>
      <c r="J170" s="2" t="s">
        <v>57</v>
      </c>
      <c r="K170" s="2" t="s">
        <v>63</v>
      </c>
      <c r="L170" s="2" t="s">
        <v>36</v>
      </c>
      <c r="M170" s="3">
        <v>44625</v>
      </c>
      <c r="N170" s="2">
        <v>4499.95</v>
      </c>
    </row>
    <row r="171" spans="1:14" x14ac:dyDescent="0.25">
      <c r="A171" s="2" t="s">
        <v>314</v>
      </c>
      <c r="B171" s="3">
        <v>45646</v>
      </c>
      <c r="C171" s="2" t="s">
        <v>42</v>
      </c>
      <c r="D171" s="2" t="s">
        <v>43</v>
      </c>
      <c r="E171" s="2" t="s">
        <v>44</v>
      </c>
      <c r="F171" s="2" t="s">
        <v>45</v>
      </c>
      <c r="G171" s="2" t="s">
        <v>46</v>
      </c>
      <c r="H171" s="2">
        <v>2</v>
      </c>
      <c r="I171" s="2">
        <v>149.99</v>
      </c>
      <c r="J171" s="2" t="s">
        <v>20</v>
      </c>
      <c r="K171" s="2" t="s">
        <v>35</v>
      </c>
      <c r="L171" s="2" t="s">
        <v>22</v>
      </c>
      <c r="M171" s="3">
        <v>45239</v>
      </c>
      <c r="N171" s="2">
        <v>299.98</v>
      </c>
    </row>
    <row r="172" spans="1:14" x14ac:dyDescent="0.25">
      <c r="A172" s="2" t="s">
        <v>315</v>
      </c>
      <c r="B172" s="3">
        <v>45648</v>
      </c>
      <c r="C172" s="2" t="s">
        <v>112</v>
      </c>
      <c r="D172" s="2" t="s">
        <v>113</v>
      </c>
      <c r="E172" s="2" t="s">
        <v>52</v>
      </c>
      <c r="F172" s="2" t="s">
        <v>53</v>
      </c>
      <c r="G172" s="2" t="s">
        <v>19</v>
      </c>
      <c r="H172" s="2">
        <v>2</v>
      </c>
      <c r="I172" s="2">
        <v>149.99</v>
      </c>
      <c r="J172" s="2" t="s">
        <v>57</v>
      </c>
      <c r="K172" s="2" t="s">
        <v>50</v>
      </c>
      <c r="L172" s="2" t="s">
        <v>27</v>
      </c>
      <c r="M172" s="3">
        <v>45280</v>
      </c>
      <c r="N172" s="2">
        <v>299.98</v>
      </c>
    </row>
    <row r="173" spans="1:14" x14ac:dyDescent="0.25">
      <c r="A173" s="2" t="s">
        <v>316</v>
      </c>
      <c r="B173" s="3">
        <v>45648</v>
      </c>
      <c r="C173" s="2" t="s">
        <v>182</v>
      </c>
      <c r="D173" s="2" t="s">
        <v>183</v>
      </c>
      <c r="E173" s="2" t="s">
        <v>44</v>
      </c>
      <c r="F173" s="2" t="s">
        <v>45</v>
      </c>
      <c r="G173" s="2" t="s">
        <v>46</v>
      </c>
      <c r="H173" s="2">
        <v>3</v>
      </c>
      <c r="I173" s="2">
        <v>149.99</v>
      </c>
      <c r="J173" s="2" t="s">
        <v>57</v>
      </c>
      <c r="K173" s="2" t="s">
        <v>40</v>
      </c>
      <c r="L173" s="2" t="s">
        <v>36</v>
      </c>
      <c r="M173" s="3">
        <v>44522</v>
      </c>
      <c r="N173" s="2">
        <v>449.97</v>
      </c>
    </row>
    <row r="174" spans="1:14" x14ac:dyDescent="0.25">
      <c r="A174" s="2" t="s">
        <v>317</v>
      </c>
      <c r="B174" s="3">
        <v>45649</v>
      </c>
      <c r="C174" s="2" t="s">
        <v>29</v>
      </c>
      <c r="D174" s="2" t="s">
        <v>30</v>
      </c>
      <c r="E174" s="2" t="s">
        <v>105</v>
      </c>
      <c r="F174" s="2" t="s">
        <v>106</v>
      </c>
      <c r="G174" s="2" t="s">
        <v>46</v>
      </c>
      <c r="H174" s="2">
        <v>2</v>
      </c>
      <c r="I174" s="2">
        <v>299.99</v>
      </c>
      <c r="J174" s="2" t="s">
        <v>34</v>
      </c>
      <c r="K174" s="2" t="s">
        <v>35</v>
      </c>
      <c r="L174" s="2" t="s">
        <v>22</v>
      </c>
      <c r="M174" s="3">
        <v>44721</v>
      </c>
      <c r="N174" s="2">
        <v>599.98</v>
      </c>
    </row>
    <row r="175" spans="1:14" x14ac:dyDescent="0.25">
      <c r="A175" s="2" t="s">
        <v>318</v>
      </c>
      <c r="B175" s="3">
        <v>45654</v>
      </c>
      <c r="C175" s="2" t="s">
        <v>42</v>
      </c>
      <c r="D175" s="2" t="s">
        <v>43</v>
      </c>
      <c r="E175" s="2" t="s">
        <v>105</v>
      </c>
      <c r="F175" s="2" t="s">
        <v>106</v>
      </c>
      <c r="G175" s="2" t="s">
        <v>46</v>
      </c>
      <c r="H175" s="2">
        <v>2</v>
      </c>
      <c r="I175" s="2">
        <v>299.99</v>
      </c>
      <c r="J175" s="2" t="s">
        <v>20</v>
      </c>
      <c r="K175" s="2" t="s">
        <v>50</v>
      </c>
      <c r="L175" s="2" t="s">
        <v>22</v>
      </c>
      <c r="M175" s="3">
        <v>44771</v>
      </c>
      <c r="N175" s="2">
        <v>599.98</v>
      </c>
    </row>
    <row r="176" spans="1:14" x14ac:dyDescent="0.25">
      <c r="A176" s="2" t="s">
        <v>319</v>
      </c>
      <c r="B176" s="3">
        <v>45654</v>
      </c>
      <c r="C176" s="2" t="s">
        <v>120</v>
      </c>
      <c r="D176" s="2" t="s">
        <v>121</v>
      </c>
      <c r="E176" s="2" t="s">
        <v>126</v>
      </c>
      <c r="F176" s="2" t="s">
        <v>127</v>
      </c>
      <c r="G176" s="2" t="s">
        <v>46</v>
      </c>
      <c r="H176" s="2">
        <v>4</v>
      </c>
      <c r="I176" s="2">
        <v>199.99</v>
      </c>
      <c r="J176" s="2" t="s">
        <v>26</v>
      </c>
      <c r="K176" s="2" t="s">
        <v>21</v>
      </c>
      <c r="L176" s="2" t="s">
        <v>22</v>
      </c>
      <c r="M176" s="3">
        <v>44523</v>
      </c>
      <c r="N176" s="2">
        <v>799.96</v>
      </c>
    </row>
    <row r="177" spans="1:14" x14ac:dyDescent="0.25">
      <c r="A177" s="2" t="s">
        <v>320</v>
      </c>
      <c r="B177" s="3">
        <v>45655</v>
      </c>
      <c r="C177" s="2" t="s">
        <v>59</v>
      </c>
      <c r="D177" s="2" t="s">
        <v>60</v>
      </c>
      <c r="E177" s="2" t="s">
        <v>117</v>
      </c>
      <c r="F177" s="2" t="s">
        <v>118</v>
      </c>
      <c r="G177" s="2" t="s">
        <v>19</v>
      </c>
      <c r="H177" s="2">
        <v>1</v>
      </c>
      <c r="I177" s="2">
        <v>89.99</v>
      </c>
      <c r="J177" s="2" t="s">
        <v>26</v>
      </c>
      <c r="K177" s="2" t="s">
        <v>35</v>
      </c>
      <c r="L177" s="2" t="s">
        <v>27</v>
      </c>
      <c r="M177" s="3">
        <v>44591</v>
      </c>
      <c r="N177" s="2">
        <v>89.99</v>
      </c>
    </row>
    <row r="178" spans="1:14" x14ac:dyDescent="0.25">
      <c r="A178" s="2" t="s">
        <v>321</v>
      </c>
      <c r="B178" s="3">
        <v>45655</v>
      </c>
      <c r="C178" s="2" t="s">
        <v>108</v>
      </c>
      <c r="D178" s="2" t="s">
        <v>109</v>
      </c>
      <c r="E178" s="2" t="s">
        <v>44</v>
      </c>
      <c r="F178" s="2" t="s">
        <v>45</v>
      </c>
      <c r="G178" s="2" t="s">
        <v>46</v>
      </c>
      <c r="H178" s="2">
        <v>5</v>
      </c>
      <c r="I178" s="2">
        <v>149.99</v>
      </c>
      <c r="J178" s="2" t="s">
        <v>20</v>
      </c>
      <c r="K178" s="2" t="s">
        <v>21</v>
      </c>
      <c r="L178" s="2" t="s">
        <v>27</v>
      </c>
      <c r="M178" s="3">
        <v>45347</v>
      </c>
      <c r="N178" s="2">
        <v>749.95</v>
      </c>
    </row>
    <row r="179" spans="1:14" x14ac:dyDescent="0.25">
      <c r="A179" s="2" t="s">
        <v>322</v>
      </c>
      <c r="B179" s="3">
        <v>45657</v>
      </c>
      <c r="C179" s="2" t="s">
        <v>86</v>
      </c>
      <c r="D179" s="2" t="s">
        <v>87</v>
      </c>
      <c r="E179" s="2" t="s">
        <v>61</v>
      </c>
      <c r="F179" s="2" t="s">
        <v>62</v>
      </c>
      <c r="G179" s="2" t="s">
        <v>19</v>
      </c>
      <c r="H179" s="2">
        <v>1</v>
      </c>
      <c r="I179" s="2">
        <v>899.99</v>
      </c>
      <c r="J179" s="2" t="s">
        <v>34</v>
      </c>
      <c r="K179" s="2" t="s">
        <v>40</v>
      </c>
      <c r="L179" s="2" t="s">
        <v>27</v>
      </c>
      <c r="M179" s="3">
        <v>45050</v>
      </c>
      <c r="N179" s="2">
        <v>899.99</v>
      </c>
    </row>
    <row r="180" spans="1:14" x14ac:dyDescent="0.25">
      <c r="A180" s="2" t="s">
        <v>323</v>
      </c>
      <c r="B180" s="3">
        <v>45660</v>
      </c>
      <c r="C180" s="2" t="s">
        <v>147</v>
      </c>
      <c r="D180" s="2" t="s">
        <v>148</v>
      </c>
      <c r="E180" s="2" t="s">
        <v>117</v>
      </c>
      <c r="F180" s="2" t="s">
        <v>118</v>
      </c>
      <c r="G180" s="2" t="s">
        <v>19</v>
      </c>
      <c r="H180" s="2">
        <v>2</v>
      </c>
      <c r="I180" s="2">
        <v>89.99</v>
      </c>
      <c r="J180" s="2" t="s">
        <v>26</v>
      </c>
      <c r="K180" s="2" t="s">
        <v>35</v>
      </c>
      <c r="L180" s="2" t="s">
        <v>27</v>
      </c>
      <c r="M180" s="3">
        <v>44564</v>
      </c>
      <c r="N180" s="2">
        <v>179.98</v>
      </c>
    </row>
    <row r="181" spans="1:14" x14ac:dyDescent="0.25">
      <c r="A181" s="2" t="s">
        <v>324</v>
      </c>
      <c r="B181" s="3">
        <v>45661</v>
      </c>
      <c r="C181" s="2" t="s">
        <v>325</v>
      </c>
      <c r="D181" s="2" t="s">
        <v>326</v>
      </c>
      <c r="E181" s="2" t="s">
        <v>61</v>
      </c>
      <c r="F181" s="2" t="s">
        <v>62</v>
      </c>
      <c r="G181" s="2" t="s">
        <v>19</v>
      </c>
      <c r="H181" s="2">
        <v>1</v>
      </c>
      <c r="I181" s="2">
        <v>899.99</v>
      </c>
      <c r="J181" s="2" t="s">
        <v>34</v>
      </c>
      <c r="K181" s="2" t="s">
        <v>40</v>
      </c>
      <c r="L181" s="2" t="s">
        <v>36</v>
      </c>
      <c r="M181" s="3">
        <v>44752</v>
      </c>
      <c r="N181" s="2">
        <v>899.99</v>
      </c>
    </row>
    <row r="182" spans="1:14" x14ac:dyDescent="0.25">
      <c r="A182" s="2" t="s">
        <v>327</v>
      </c>
      <c r="B182" s="3">
        <v>45663</v>
      </c>
      <c r="C182" s="2" t="s">
        <v>129</v>
      </c>
      <c r="D182" s="2" t="s">
        <v>130</v>
      </c>
      <c r="E182" s="2" t="s">
        <v>52</v>
      </c>
      <c r="F182" s="2" t="s">
        <v>53</v>
      </c>
      <c r="G182" s="2" t="s">
        <v>19</v>
      </c>
      <c r="H182" s="2">
        <v>5</v>
      </c>
      <c r="I182" s="2">
        <v>149.99</v>
      </c>
      <c r="J182" s="2" t="s">
        <v>34</v>
      </c>
      <c r="K182" s="2" t="s">
        <v>63</v>
      </c>
      <c r="L182" s="2" t="s">
        <v>27</v>
      </c>
      <c r="M182" s="3">
        <v>44824</v>
      </c>
      <c r="N182" s="2">
        <v>749.95</v>
      </c>
    </row>
    <row r="183" spans="1:14" x14ac:dyDescent="0.25">
      <c r="A183" s="2" t="s">
        <v>328</v>
      </c>
      <c r="B183" s="3">
        <v>45663</v>
      </c>
      <c r="C183" s="2" t="s">
        <v>42</v>
      </c>
      <c r="D183" s="2" t="s">
        <v>43</v>
      </c>
      <c r="E183" s="2" t="s">
        <v>105</v>
      </c>
      <c r="F183" s="2" t="s">
        <v>106</v>
      </c>
      <c r="G183" s="2" t="s">
        <v>46</v>
      </c>
      <c r="H183" s="2">
        <v>3</v>
      </c>
      <c r="I183" s="2">
        <v>299.99</v>
      </c>
      <c r="J183" s="2" t="s">
        <v>20</v>
      </c>
      <c r="K183" s="2" t="s">
        <v>35</v>
      </c>
      <c r="L183" s="2" t="s">
        <v>36</v>
      </c>
      <c r="M183" s="3">
        <v>44422</v>
      </c>
      <c r="N183" s="2">
        <v>899.97</v>
      </c>
    </row>
    <row r="184" spans="1:14" x14ac:dyDescent="0.25">
      <c r="A184" s="2" t="s">
        <v>329</v>
      </c>
      <c r="B184" s="3">
        <v>45666</v>
      </c>
      <c r="C184" s="2" t="s">
        <v>65</v>
      </c>
      <c r="D184" s="2" t="s">
        <v>66</v>
      </c>
      <c r="E184" s="2" t="s">
        <v>80</v>
      </c>
      <c r="F184" s="2" t="s">
        <v>81</v>
      </c>
      <c r="G184" s="2" t="s">
        <v>19</v>
      </c>
      <c r="H184" s="2">
        <v>3</v>
      </c>
      <c r="I184" s="2">
        <v>699.99</v>
      </c>
      <c r="J184" s="2" t="s">
        <v>26</v>
      </c>
      <c r="K184" s="2" t="s">
        <v>21</v>
      </c>
      <c r="L184" s="2" t="s">
        <v>27</v>
      </c>
      <c r="M184" s="3">
        <v>45105</v>
      </c>
      <c r="N184" s="2">
        <v>2099.9699999999998</v>
      </c>
    </row>
    <row r="185" spans="1:14" x14ac:dyDescent="0.25">
      <c r="A185" s="2" t="s">
        <v>330</v>
      </c>
      <c r="B185" s="3">
        <v>45667</v>
      </c>
      <c r="C185" s="2" t="s">
        <v>108</v>
      </c>
      <c r="D185" s="2" t="s">
        <v>109</v>
      </c>
      <c r="E185" s="2" t="s">
        <v>126</v>
      </c>
      <c r="F185" s="2" t="s">
        <v>127</v>
      </c>
      <c r="G185" s="2" t="s">
        <v>46</v>
      </c>
      <c r="H185" s="2">
        <v>5</v>
      </c>
      <c r="I185" s="2">
        <v>199.99</v>
      </c>
      <c r="J185" s="2" t="s">
        <v>34</v>
      </c>
      <c r="K185" s="2" t="s">
        <v>21</v>
      </c>
      <c r="L185" s="2" t="s">
        <v>36</v>
      </c>
      <c r="M185" s="3">
        <v>44633</v>
      </c>
      <c r="N185" s="2">
        <v>999.95</v>
      </c>
    </row>
    <row r="186" spans="1:14" x14ac:dyDescent="0.25">
      <c r="A186" s="2" t="s">
        <v>331</v>
      </c>
      <c r="B186" s="3">
        <v>45667</v>
      </c>
      <c r="C186" s="2" t="s">
        <v>93</v>
      </c>
      <c r="D186" s="2" t="s">
        <v>94</v>
      </c>
      <c r="E186" s="2" t="s">
        <v>17</v>
      </c>
      <c r="F186" s="2" t="s">
        <v>18</v>
      </c>
      <c r="G186" s="2" t="s">
        <v>19</v>
      </c>
      <c r="H186" s="2">
        <v>5</v>
      </c>
      <c r="I186" s="2">
        <v>249.99</v>
      </c>
      <c r="J186" s="2" t="s">
        <v>26</v>
      </c>
      <c r="K186" s="2" t="s">
        <v>35</v>
      </c>
      <c r="L186" s="2" t="s">
        <v>22</v>
      </c>
      <c r="M186" s="3">
        <v>45330</v>
      </c>
      <c r="N186" s="2">
        <v>1249.95</v>
      </c>
    </row>
    <row r="187" spans="1:14" x14ac:dyDescent="0.25">
      <c r="A187" s="2" t="s">
        <v>332</v>
      </c>
      <c r="B187" s="3">
        <v>45668</v>
      </c>
      <c r="C187" s="2" t="s">
        <v>138</v>
      </c>
      <c r="D187" s="2" t="s">
        <v>139</v>
      </c>
      <c r="E187" s="2" t="s">
        <v>52</v>
      </c>
      <c r="F187" s="2" t="s">
        <v>53</v>
      </c>
      <c r="G187" s="2" t="s">
        <v>19</v>
      </c>
      <c r="H187" s="2">
        <v>4</v>
      </c>
      <c r="I187" s="2">
        <v>149.99</v>
      </c>
      <c r="J187" s="2" t="s">
        <v>57</v>
      </c>
      <c r="K187" s="2" t="s">
        <v>63</v>
      </c>
      <c r="L187" s="2" t="s">
        <v>36</v>
      </c>
      <c r="M187" s="3">
        <v>44536</v>
      </c>
      <c r="N187" s="2">
        <v>599.96</v>
      </c>
    </row>
    <row r="188" spans="1:14" x14ac:dyDescent="0.25">
      <c r="A188" s="2" t="s">
        <v>333</v>
      </c>
      <c r="B188" s="3">
        <v>45668</v>
      </c>
      <c r="C188" s="2" t="s">
        <v>78</v>
      </c>
      <c r="D188" s="2" t="s">
        <v>79</v>
      </c>
      <c r="E188" s="2" t="s">
        <v>80</v>
      </c>
      <c r="F188" s="2" t="s">
        <v>81</v>
      </c>
      <c r="G188" s="2" t="s">
        <v>19</v>
      </c>
      <c r="H188" s="2">
        <v>3</v>
      </c>
      <c r="I188" s="2">
        <v>699.99</v>
      </c>
      <c r="J188" s="2" t="s">
        <v>20</v>
      </c>
      <c r="K188" s="2" t="s">
        <v>40</v>
      </c>
      <c r="L188" s="2" t="s">
        <v>27</v>
      </c>
      <c r="M188" s="3">
        <v>44602</v>
      </c>
      <c r="N188" s="2">
        <v>2099.9699999999998</v>
      </c>
    </row>
    <row r="189" spans="1:14" x14ac:dyDescent="0.25">
      <c r="A189" s="2" t="s">
        <v>334</v>
      </c>
      <c r="B189" s="3">
        <v>45670</v>
      </c>
      <c r="C189" s="2" t="s">
        <v>293</v>
      </c>
      <c r="D189" s="2" t="s">
        <v>294</v>
      </c>
      <c r="E189" s="2" t="s">
        <v>114</v>
      </c>
      <c r="F189" s="2" t="s">
        <v>115</v>
      </c>
      <c r="G189" s="2" t="s">
        <v>33</v>
      </c>
      <c r="H189" s="2">
        <v>1</v>
      </c>
      <c r="I189" s="2">
        <v>79.989999999999995</v>
      </c>
      <c r="J189" s="2" t="s">
        <v>26</v>
      </c>
      <c r="K189" s="2" t="s">
        <v>35</v>
      </c>
      <c r="L189" s="2" t="s">
        <v>22</v>
      </c>
      <c r="M189" s="3">
        <v>45322</v>
      </c>
      <c r="N189" s="2">
        <v>79.989999999999995</v>
      </c>
    </row>
    <row r="190" spans="1:14" x14ac:dyDescent="0.25">
      <c r="A190" s="2" t="s">
        <v>335</v>
      </c>
      <c r="B190" s="3">
        <v>45670</v>
      </c>
      <c r="C190" s="2" t="s">
        <v>86</v>
      </c>
      <c r="D190" s="2" t="s">
        <v>87</v>
      </c>
      <c r="E190" s="2" t="s">
        <v>105</v>
      </c>
      <c r="F190" s="2" t="s">
        <v>106</v>
      </c>
      <c r="G190" s="2" t="s">
        <v>46</v>
      </c>
      <c r="H190" s="2">
        <v>1</v>
      </c>
      <c r="I190" s="2">
        <v>299.99</v>
      </c>
      <c r="J190" s="2" t="s">
        <v>26</v>
      </c>
      <c r="K190" s="2" t="s">
        <v>40</v>
      </c>
      <c r="L190" s="2" t="s">
        <v>22</v>
      </c>
      <c r="M190" s="3">
        <v>44436</v>
      </c>
      <c r="N190" s="2">
        <v>299.99</v>
      </c>
    </row>
    <row r="191" spans="1:14" x14ac:dyDescent="0.25">
      <c r="A191" s="2" t="s">
        <v>336</v>
      </c>
      <c r="B191" s="3">
        <v>45671</v>
      </c>
      <c r="C191" s="2" t="s">
        <v>158</v>
      </c>
      <c r="D191" s="2" t="s">
        <v>159</v>
      </c>
      <c r="E191" s="2" t="s">
        <v>17</v>
      </c>
      <c r="F191" s="2" t="s">
        <v>18</v>
      </c>
      <c r="G191" s="2" t="s">
        <v>19</v>
      </c>
      <c r="H191" s="2">
        <v>4</v>
      </c>
      <c r="I191" s="2">
        <v>249.99</v>
      </c>
      <c r="J191" s="2" t="s">
        <v>26</v>
      </c>
      <c r="K191" s="2" t="s">
        <v>40</v>
      </c>
      <c r="L191" s="2" t="s">
        <v>27</v>
      </c>
      <c r="M191" s="3">
        <v>44460</v>
      </c>
      <c r="N191" s="2">
        <v>999.96</v>
      </c>
    </row>
    <row r="192" spans="1:14" x14ac:dyDescent="0.25">
      <c r="A192" s="2" t="s">
        <v>337</v>
      </c>
      <c r="B192" s="3">
        <v>45671</v>
      </c>
      <c r="C192" s="2" t="s">
        <v>120</v>
      </c>
      <c r="D192" s="2" t="s">
        <v>121</v>
      </c>
      <c r="E192" s="2" t="s">
        <v>52</v>
      </c>
      <c r="F192" s="2" t="s">
        <v>53</v>
      </c>
      <c r="G192" s="2" t="s">
        <v>19</v>
      </c>
      <c r="H192" s="2">
        <v>2</v>
      </c>
      <c r="I192" s="2">
        <v>149.99</v>
      </c>
      <c r="J192" s="2" t="s">
        <v>20</v>
      </c>
      <c r="K192" s="2" t="s">
        <v>40</v>
      </c>
      <c r="L192" s="2" t="s">
        <v>36</v>
      </c>
      <c r="M192" s="3">
        <v>44913</v>
      </c>
      <c r="N192" s="2">
        <v>299.98</v>
      </c>
    </row>
    <row r="193" spans="1:14" x14ac:dyDescent="0.25">
      <c r="A193" s="2" t="s">
        <v>338</v>
      </c>
      <c r="B193" s="3">
        <v>45671</v>
      </c>
      <c r="C193" s="2" t="s">
        <v>234</v>
      </c>
      <c r="D193" s="2" t="s">
        <v>235</v>
      </c>
      <c r="E193" s="2" t="s">
        <v>105</v>
      </c>
      <c r="F193" s="2" t="s">
        <v>106</v>
      </c>
      <c r="G193" s="2" t="s">
        <v>46</v>
      </c>
      <c r="H193" s="2">
        <v>3</v>
      </c>
      <c r="I193" s="2">
        <v>299.99</v>
      </c>
      <c r="J193" s="2" t="s">
        <v>26</v>
      </c>
      <c r="K193" s="2" t="s">
        <v>35</v>
      </c>
      <c r="L193" s="2" t="s">
        <v>22</v>
      </c>
      <c r="M193" s="3">
        <v>45204</v>
      </c>
      <c r="N193" s="2">
        <v>899.97</v>
      </c>
    </row>
    <row r="194" spans="1:14" x14ac:dyDescent="0.25">
      <c r="A194" s="2" t="s">
        <v>339</v>
      </c>
      <c r="B194" s="3">
        <v>45673</v>
      </c>
      <c r="C194" s="2" t="s">
        <v>226</v>
      </c>
      <c r="D194" s="2" t="s">
        <v>227</v>
      </c>
      <c r="E194" s="2" t="s">
        <v>126</v>
      </c>
      <c r="F194" s="2" t="s">
        <v>127</v>
      </c>
      <c r="G194" s="2" t="s">
        <v>46</v>
      </c>
      <c r="H194" s="2">
        <v>4</v>
      </c>
      <c r="I194" s="2">
        <v>199.99</v>
      </c>
      <c r="J194" s="2" t="s">
        <v>57</v>
      </c>
      <c r="K194" s="2" t="s">
        <v>35</v>
      </c>
      <c r="L194" s="2" t="s">
        <v>36</v>
      </c>
      <c r="M194" s="3">
        <v>44544</v>
      </c>
      <c r="N194" s="2">
        <v>799.96</v>
      </c>
    </row>
    <row r="195" spans="1:14" x14ac:dyDescent="0.25">
      <c r="A195" s="2" t="s">
        <v>340</v>
      </c>
      <c r="B195" s="3">
        <v>45673</v>
      </c>
      <c r="C195" s="2" t="s">
        <v>211</v>
      </c>
      <c r="D195" s="2" t="s">
        <v>212</v>
      </c>
      <c r="E195" s="2" t="s">
        <v>105</v>
      </c>
      <c r="F195" s="2" t="s">
        <v>106</v>
      </c>
      <c r="G195" s="2" t="s">
        <v>46</v>
      </c>
      <c r="H195" s="2">
        <v>5</v>
      </c>
      <c r="I195" s="2">
        <v>299.99</v>
      </c>
      <c r="J195" s="2" t="s">
        <v>57</v>
      </c>
      <c r="K195" s="2" t="s">
        <v>21</v>
      </c>
      <c r="L195" s="2" t="s">
        <v>22</v>
      </c>
      <c r="M195" s="3">
        <v>44431</v>
      </c>
      <c r="N195" s="2">
        <v>1499.95</v>
      </c>
    </row>
    <row r="196" spans="1:14" x14ac:dyDescent="0.25">
      <c r="A196" s="2" t="s">
        <v>341</v>
      </c>
      <c r="B196" s="3">
        <v>45673</v>
      </c>
      <c r="C196" s="2" t="s">
        <v>59</v>
      </c>
      <c r="D196" s="2" t="s">
        <v>60</v>
      </c>
      <c r="E196" s="2" t="s">
        <v>44</v>
      </c>
      <c r="F196" s="2" t="s">
        <v>45</v>
      </c>
      <c r="G196" s="2" t="s">
        <v>46</v>
      </c>
      <c r="H196" s="2">
        <v>3</v>
      </c>
      <c r="I196" s="2">
        <v>149.99</v>
      </c>
      <c r="J196" s="2" t="s">
        <v>26</v>
      </c>
      <c r="K196" s="2" t="s">
        <v>63</v>
      </c>
      <c r="L196" s="2" t="s">
        <v>36</v>
      </c>
      <c r="M196" s="3">
        <v>44395</v>
      </c>
      <c r="N196" s="2">
        <v>449.97</v>
      </c>
    </row>
    <row r="197" spans="1:14" x14ac:dyDescent="0.25">
      <c r="A197" s="2" t="s">
        <v>342</v>
      </c>
      <c r="B197" s="3">
        <v>45676</v>
      </c>
      <c r="C197" s="2" t="s">
        <v>129</v>
      </c>
      <c r="D197" s="2" t="s">
        <v>130</v>
      </c>
      <c r="E197" s="2" t="s">
        <v>31</v>
      </c>
      <c r="F197" s="2" t="s">
        <v>32</v>
      </c>
      <c r="G197" s="2" t="s">
        <v>33</v>
      </c>
      <c r="H197" s="2">
        <v>5</v>
      </c>
      <c r="I197" s="2">
        <v>59.99</v>
      </c>
      <c r="J197" s="2" t="s">
        <v>57</v>
      </c>
      <c r="K197" s="2" t="s">
        <v>63</v>
      </c>
      <c r="L197" s="2" t="s">
        <v>22</v>
      </c>
      <c r="M197" s="3">
        <v>44642</v>
      </c>
      <c r="N197" s="2">
        <v>299.95</v>
      </c>
    </row>
    <row r="198" spans="1:14" x14ac:dyDescent="0.25">
      <c r="A198" s="2" t="s">
        <v>343</v>
      </c>
      <c r="B198" s="3">
        <v>45682</v>
      </c>
      <c r="C198" s="2" t="s">
        <v>68</v>
      </c>
      <c r="D198" s="2" t="s">
        <v>69</v>
      </c>
      <c r="E198" s="2" t="s">
        <v>31</v>
      </c>
      <c r="F198" s="2" t="s">
        <v>32</v>
      </c>
      <c r="G198" s="2" t="s">
        <v>33</v>
      </c>
      <c r="H198" s="2">
        <v>4</v>
      </c>
      <c r="I198" s="2">
        <v>59.99</v>
      </c>
      <c r="J198" s="2" t="s">
        <v>57</v>
      </c>
      <c r="K198" s="2" t="s">
        <v>63</v>
      </c>
      <c r="L198" s="2" t="s">
        <v>36</v>
      </c>
      <c r="M198" s="3">
        <v>44564</v>
      </c>
      <c r="N198" s="2">
        <v>239.96</v>
      </c>
    </row>
    <row r="199" spans="1:14" x14ac:dyDescent="0.25">
      <c r="A199" s="2" t="s">
        <v>344</v>
      </c>
      <c r="B199" s="3">
        <v>45683</v>
      </c>
      <c r="C199" s="2" t="s">
        <v>48</v>
      </c>
      <c r="D199" s="2" t="s">
        <v>49</v>
      </c>
      <c r="E199" s="2" t="s">
        <v>17</v>
      </c>
      <c r="F199" s="2" t="s">
        <v>18</v>
      </c>
      <c r="G199" s="2" t="s">
        <v>19</v>
      </c>
      <c r="H199" s="2">
        <v>4</v>
      </c>
      <c r="I199" s="2">
        <v>249.99</v>
      </c>
      <c r="J199" s="2" t="s">
        <v>57</v>
      </c>
      <c r="K199" s="2" t="s">
        <v>21</v>
      </c>
      <c r="L199" s="2" t="s">
        <v>27</v>
      </c>
      <c r="M199" s="3">
        <v>45217</v>
      </c>
      <c r="N199" s="2">
        <v>999.96</v>
      </c>
    </row>
    <row r="200" spans="1:14" x14ac:dyDescent="0.25">
      <c r="A200" s="2" t="s">
        <v>345</v>
      </c>
      <c r="B200" s="3">
        <v>45686</v>
      </c>
      <c r="C200" s="2" t="s">
        <v>252</v>
      </c>
      <c r="D200" s="2" t="s">
        <v>253</v>
      </c>
      <c r="E200" s="2" t="s">
        <v>61</v>
      </c>
      <c r="F200" s="2" t="s">
        <v>62</v>
      </c>
      <c r="G200" s="2" t="s">
        <v>19</v>
      </c>
      <c r="H200" s="2">
        <v>4</v>
      </c>
      <c r="I200" s="2">
        <v>899.99</v>
      </c>
      <c r="J200" s="2" t="s">
        <v>34</v>
      </c>
      <c r="K200" s="2" t="s">
        <v>21</v>
      </c>
      <c r="L200" s="2" t="s">
        <v>22</v>
      </c>
      <c r="M200" s="3">
        <v>44734</v>
      </c>
      <c r="N200" s="2">
        <v>3599.96</v>
      </c>
    </row>
    <row r="201" spans="1:14" x14ac:dyDescent="0.25">
      <c r="A201" s="2" t="s">
        <v>346</v>
      </c>
      <c r="B201" s="3">
        <v>45686</v>
      </c>
      <c r="C201" s="2" t="s">
        <v>86</v>
      </c>
      <c r="D201" s="2" t="s">
        <v>87</v>
      </c>
      <c r="E201" s="2" t="s">
        <v>105</v>
      </c>
      <c r="F201" s="2" t="s">
        <v>106</v>
      </c>
      <c r="G201" s="2" t="s">
        <v>46</v>
      </c>
      <c r="H201" s="2">
        <v>3</v>
      </c>
      <c r="I201" s="2">
        <v>299.99</v>
      </c>
      <c r="J201" s="2" t="s">
        <v>57</v>
      </c>
      <c r="K201" s="2" t="s">
        <v>50</v>
      </c>
      <c r="L201" s="2" t="s">
        <v>36</v>
      </c>
      <c r="M201" s="3">
        <v>44952</v>
      </c>
      <c r="N201" s="2">
        <v>899.97</v>
      </c>
    </row>
    <row r="202" spans="1:14" x14ac:dyDescent="0.25">
      <c r="A202" s="2" t="s">
        <v>347</v>
      </c>
      <c r="B202" s="3">
        <v>45686</v>
      </c>
      <c r="C202" s="2" t="s">
        <v>293</v>
      </c>
      <c r="D202" s="2" t="s">
        <v>294</v>
      </c>
      <c r="E202" s="2" t="s">
        <v>80</v>
      </c>
      <c r="F202" s="2" t="s">
        <v>81</v>
      </c>
      <c r="G202" s="2" t="s">
        <v>19</v>
      </c>
      <c r="H202" s="2">
        <v>2</v>
      </c>
      <c r="I202" s="2">
        <v>699.99</v>
      </c>
      <c r="J202" s="2" t="s">
        <v>57</v>
      </c>
      <c r="K202" s="2" t="s">
        <v>21</v>
      </c>
      <c r="L202" s="2" t="s">
        <v>27</v>
      </c>
      <c r="M202" s="3">
        <v>44681</v>
      </c>
      <c r="N202" s="2">
        <v>1399.98</v>
      </c>
    </row>
    <row r="203" spans="1:14" x14ac:dyDescent="0.25">
      <c r="A203" s="2" t="s">
        <v>348</v>
      </c>
      <c r="B203" s="3">
        <v>45688</v>
      </c>
      <c r="C203" s="2" t="s">
        <v>65</v>
      </c>
      <c r="D203" s="2" t="s">
        <v>66</v>
      </c>
      <c r="E203" s="2" t="s">
        <v>80</v>
      </c>
      <c r="F203" s="2" t="s">
        <v>81</v>
      </c>
      <c r="G203" s="2" t="s">
        <v>19</v>
      </c>
      <c r="H203" s="2">
        <v>4</v>
      </c>
      <c r="I203" s="2">
        <v>699.99</v>
      </c>
      <c r="J203" s="2" t="s">
        <v>57</v>
      </c>
      <c r="K203" s="2" t="s">
        <v>50</v>
      </c>
      <c r="L203" s="2" t="s">
        <v>27</v>
      </c>
      <c r="M203" s="3">
        <v>44692</v>
      </c>
      <c r="N203" s="2">
        <v>2799.96</v>
      </c>
    </row>
    <row r="204" spans="1:14" x14ac:dyDescent="0.25">
      <c r="A204" s="2" t="s">
        <v>349</v>
      </c>
      <c r="B204" s="3">
        <v>45688</v>
      </c>
      <c r="C204" s="2" t="s">
        <v>123</v>
      </c>
      <c r="D204" s="2" t="s">
        <v>124</v>
      </c>
      <c r="E204" s="2" t="s">
        <v>117</v>
      </c>
      <c r="F204" s="2" t="s">
        <v>118</v>
      </c>
      <c r="G204" s="2" t="s">
        <v>19</v>
      </c>
      <c r="H204" s="2">
        <v>2</v>
      </c>
      <c r="I204" s="2">
        <v>89.99</v>
      </c>
      <c r="J204" s="2" t="s">
        <v>57</v>
      </c>
      <c r="K204" s="2" t="s">
        <v>35</v>
      </c>
      <c r="L204" s="2" t="s">
        <v>22</v>
      </c>
      <c r="M204" s="3">
        <v>44777</v>
      </c>
      <c r="N204" s="2">
        <v>179.98</v>
      </c>
    </row>
    <row r="205" spans="1:14" x14ac:dyDescent="0.25">
      <c r="A205" s="2" t="s">
        <v>350</v>
      </c>
      <c r="B205" s="3">
        <v>45688</v>
      </c>
      <c r="C205" s="2" t="s">
        <v>42</v>
      </c>
      <c r="D205" s="2" t="s">
        <v>43</v>
      </c>
      <c r="E205" s="2" t="s">
        <v>117</v>
      </c>
      <c r="F205" s="2" t="s">
        <v>118</v>
      </c>
      <c r="G205" s="2" t="s">
        <v>19</v>
      </c>
      <c r="H205" s="2">
        <v>3</v>
      </c>
      <c r="I205" s="2">
        <v>89.99</v>
      </c>
      <c r="J205" s="2" t="s">
        <v>57</v>
      </c>
      <c r="K205" s="2" t="s">
        <v>35</v>
      </c>
      <c r="L205" s="2" t="s">
        <v>27</v>
      </c>
      <c r="M205" s="3">
        <v>45307</v>
      </c>
      <c r="N205" s="2">
        <v>269.97000000000003</v>
      </c>
    </row>
    <row r="206" spans="1:14" x14ac:dyDescent="0.25">
      <c r="A206" s="2" t="s">
        <v>351</v>
      </c>
      <c r="B206" s="3">
        <v>45692</v>
      </c>
      <c r="C206" s="2" t="s">
        <v>325</v>
      </c>
      <c r="D206" s="2" t="s">
        <v>326</v>
      </c>
      <c r="E206" s="2" t="s">
        <v>31</v>
      </c>
      <c r="F206" s="2" t="s">
        <v>32</v>
      </c>
      <c r="G206" s="2" t="s">
        <v>33</v>
      </c>
      <c r="H206" s="2">
        <v>1</v>
      </c>
      <c r="I206" s="2">
        <v>59.99</v>
      </c>
      <c r="J206" s="2" t="s">
        <v>57</v>
      </c>
      <c r="K206" s="2" t="s">
        <v>21</v>
      </c>
      <c r="L206" s="2" t="s">
        <v>36</v>
      </c>
      <c r="M206" s="3">
        <v>45045</v>
      </c>
      <c r="N206" s="2">
        <v>59.99</v>
      </c>
    </row>
    <row r="207" spans="1:14" x14ac:dyDescent="0.25">
      <c r="A207" s="2" t="s">
        <v>352</v>
      </c>
      <c r="B207" s="3">
        <v>45695</v>
      </c>
      <c r="C207" s="2" t="s">
        <v>246</v>
      </c>
      <c r="D207" s="2" t="s">
        <v>247</v>
      </c>
      <c r="E207" s="2" t="s">
        <v>44</v>
      </c>
      <c r="F207" s="2" t="s">
        <v>45</v>
      </c>
      <c r="G207" s="2" t="s">
        <v>46</v>
      </c>
      <c r="H207" s="2">
        <v>3</v>
      </c>
      <c r="I207" s="2">
        <v>149.99</v>
      </c>
      <c r="J207" s="2" t="s">
        <v>57</v>
      </c>
      <c r="K207" s="2" t="s">
        <v>40</v>
      </c>
      <c r="L207" s="2" t="s">
        <v>27</v>
      </c>
      <c r="M207" s="3">
        <v>44564</v>
      </c>
      <c r="N207" s="2">
        <v>449.97</v>
      </c>
    </row>
    <row r="208" spans="1:14" x14ac:dyDescent="0.25">
      <c r="A208" s="2" t="s">
        <v>353</v>
      </c>
      <c r="B208" s="3">
        <v>45695</v>
      </c>
      <c r="C208" s="2" t="s">
        <v>93</v>
      </c>
      <c r="D208" s="2" t="s">
        <v>94</v>
      </c>
      <c r="E208" s="2" t="s">
        <v>105</v>
      </c>
      <c r="F208" s="2" t="s">
        <v>106</v>
      </c>
      <c r="G208" s="2" t="s">
        <v>46</v>
      </c>
      <c r="H208" s="2">
        <v>5</v>
      </c>
      <c r="I208" s="2">
        <v>299.99</v>
      </c>
      <c r="J208" s="2" t="s">
        <v>26</v>
      </c>
      <c r="K208" s="2" t="s">
        <v>35</v>
      </c>
      <c r="L208" s="2" t="s">
        <v>22</v>
      </c>
      <c r="M208" s="3">
        <v>44959</v>
      </c>
      <c r="N208" s="2">
        <v>1499.95</v>
      </c>
    </row>
    <row r="209" spans="1:14" x14ac:dyDescent="0.25">
      <c r="A209" s="2" t="s">
        <v>354</v>
      </c>
      <c r="B209" s="3">
        <v>45696</v>
      </c>
      <c r="C209" s="2" t="s">
        <v>150</v>
      </c>
      <c r="D209" s="2" t="s">
        <v>151</v>
      </c>
      <c r="E209" s="2" t="s">
        <v>31</v>
      </c>
      <c r="F209" s="2" t="s">
        <v>32</v>
      </c>
      <c r="G209" s="2" t="s">
        <v>33</v>
      </c>
      <c r="H209" s="2">
        <v>5</v>
      </c>
      <c r="I209" s="2">
        <v>59.99</v>
      </c>
      <c r="J209" s="2" t="s">
        <v>57</v>
      </c>
      <c r="K209" s="2" t="s">
        <v>21</v>
      </c>
      <c r="L209" s="2" t="s">
        <v>36</v>
      </c>
      <c r="M209" s="3">
        <v>45177</v>
      </c>
      <c r="N209" s="2">
        <v>299.95</v>
      </c>
    </row>
    <row r="210" spans="1:14" x14ac:dyDescent="0.25">
      <c r="A210" s="2" t="s">
        <v>355</v>
      </c>
      <c r="B210" s="3">
        <v>45701</v>
      </c>
      <c r="C210" s="2" t="s">
        <v>108</v>
      </c>
      <c r="D210" s="2" t="s">
        <v>109</v>
      </c>
      <c r="E210" s="2" t="s">
        <v>114</v>
      </c>
      <c r="F210" s="2" t="s">
        <v>115</v>
      </c>
      <c r="G210" s="2" t="s">
        <v>33</v>
      </c>
      <c r="H210" s="2">
        <v>3</v>
      </c>
      <c r="I210" s="2">
        <v>79.989999999999995</v>
      </c>
      <c r="J210" s="2" t="s">
        <v>20</v>
      </c>
      <c r="K210" s="2" t="s">
        <v>63</v>
      </c>
      <c r="L210" s="2" t="s">
        <v>27</v>
      </c>
      <c r="M210" s="3">
        <v>44436</v>
      </c>
      <c r="N210" s="2">
        <v>239.97</v>
      </c>
    </row>
    <row r="211" spans="1:14" x14ac:dyDescent="0.25">
      <c r="A211" s="2" t="s">
        <v>356</v>
      </c>
      <c r="B211" s="3">
        <v>45704</v>
      </c>
      <c r="C211" s="2" t="s">
        <v>29</v>
      </c>
      <c r="D211" s="2" t="s">
        <v>30</v>
      </c>
      <c r="E211" s="2" t="s">
        <v>126</v>
      </c>
      <c r="F211" s="2" t="s">
        <v>127</v>
      </c>
      <c r="G211" s="2" t="s">
        <v>46</v>
      </c>
      <c r="H211" s="2">
        <v>3</v>
      </c>
      <c r="I211" s="2">
        <v>199.99</v>
      </c>
      <c r="J211" s="2" t="s">
        <v>20</v>
      </c>
      <c r="K211" s="2" t="s">
        <v>21</v>
      </c>
      <c r="L211" s="2" t="s">
        <v>22</v>
      </c>
      <c r="M211" s="3">
        <v>44735</v>
      </c>
      <c r="N211" s="2">
        <v>599.97</v>
      </c>
    </row>
    <row r="212" spans="1:14" x14ac:dyDescent="0.25">
      <c r="A212" s="2" t="s">
        <v>357</v>
      </c>
      <c r="B212" s="3">
        <v>45704</v>
      </c>
      <c r="C212" s="2" t="s">
        <v>15</v>
      </c>
      <c r="D212" s="2" t="s">
        <v>16</v>
      </c>
      <c r="E212" s="2" t="s">
        <v>117</v>
      </c>
      <c r="F212" s="2" t="s">
        <v>118</v>
      </c>
      <c r="G212" s="2" t="s">
        <v>19</v>
      </c>
      <c r="H212" s="2">
        <v>2</v>
      </c>
      <c r="I212" s="2">
        <v>89.99</v>
      </c>
      <c r="J212" s="2" t="s">
        <v>34</v>
      </c>
      <c r="K212" s="2" t="s">
        <v>21</v>
      </c>
      <c r="L212" s="2" t="s">
        <v>22</v>
      </c>
      <c r="M212" s="3">
        <v>45257</v>
      </c>
      <c r="N212" s="2">
        <v>179.98</v>
      </c>
    </row>
    <row r="213" spans="1:14" x14ac:dyDescent="0.25">
      <c r="A213" s="2" t="s">
        <v>358</v>
      </c>
      <c r="B213" s="3">
        <v>45705</v>
      </c>
      <c r="C213" s="2" t="s">
        <v>259</v>
      </c>
      <c r="D213" s="2" t="s">
        <v>260</v>
      </c>
      <c r="E213" s="2" t="s">
        <v>44</v>
      </c>
      <c r="F213" s="2" t="s">
        <v>45</v>
      </c>
      <c r="G213" s="2" t="s">
        <v>46</v>
      </c>
      <c r="H213" s="2">
        <v>2</v>
      </c>
      <c r="I213" s="2">
        <v>149.99</v>
      </c>
      <c r="J213" s="2" t="s">
        <v>20</v>
      </c>
      <c r="K213" s="2" t="s">
        <v>35</v>
      </c>
      <c r="L213" s="2" t="s">
        <v>27</v>
      </c>
      <c r="M213" s="3">
        <v>44728</v>
      </c>
      <c r="N213" s="2">
        <v>299.98</v>
      </c>
    </row>
    <row r="214" spans="1:14" x14ac:dyDescent="0.25">
      <c r="A214" s="2" t="s">
        <v>359</v>
      </c>
      <c r="B214" s="3">
        <v>45707</v>
      </c>
      <c r="C214" s="2" t="s">
        <v>123</v>
      </c>
      <c r="D214" s="2" t="s">
        <v>124</v>
      </c>
      <c r="E214" s="2" t="s">
        <v>80</v>
      </c>
      <c r="F214" s="2" t="s">
        <v>81</v>
      </c>
      <c r="G214" s="2" t="s">
        <v>19</v>
      </c>
      <c r="H214" s="2">
        <v>5</v>
      </c>
      <c r="I214" s="2">
        <v>699.99</v>
      </c>
      <c r="J214" s="2" t="s">
        <v>34</v>
      </c>
      <c r="K214" s="2" t="s">
        <v>35</v>
      </c>
      <c r="L214" s="2" t="s">
        <v>27</v>
      </c>
      <c r="M214" s="3">
        <v>45352</v>
      </c>
      <c r="N214" s="2">
        <v>3499.95</v>
      </c>
    </row>
    <row r="215" spans="1:14" x14ac:dyDescent="0.25">
      <c r="A215" s="2" t="s">
        <v>360</v>
      </c>
      <c r="B215" s="3">
        <v>45707</v>
      </c>
      <c r="C215" s="2" t="s">
        <v>42</v>
      </c>
      <c r="D215" s="2" t="s">
        <v>43</v>
      </c>
      <c r="E215" s="2" t="s">
        <v>44</v>
      </c>
      <c r="F215" s="2" t="s">
        <v>45</v>
      </c>
      <c r="G215" s="2" t="s">
        <v>46</v>
      </c>
      <c r="H215" s="2">
        <v>3</v>
      </c>
      <c r="I215" s="2">
        <v>149.99</v>
      </c>
      <c r="J215" s="2" t="s">
        <v>34</v>
      </c>
      <c r="K215" s="2" t="s">
        <v>21</v>
      </c>
      <c r="L215" s="2" t="s">
        <v>36</v>
      </c>
      <c r="M215" s="3">
        <v>44633</v>
      </c>
      <c r="N215" s="2">
        <v>449.97</v>
      </c>
    </row>
    <row r="216" spans="1:14" x14ac:dyDescent="0.25">
      <c r="A216" s="2" t="s">
        <v>361</v>
      </c>
      <c r="B216" s="3">
        <v>45708</v>
      </c>
      <c r="C216" s="2" t="s">
        <v>96</v>
      </c>
      <c r="D216" s="2" t="s">
        <v>97</v>
      </c>
      <c r="E216" s="2" t="s">
        <v>61</v>
      </c>
      <c r="F216" s="2" t="s">
        <v>62</v>
      </c>
      <c r="G216" s="2" t="s">
        <v>19</v>
      </c>
      <c r="H216" s="2">
        <v>3</v>
      </c>
      <c r="I216" s="2">
        <v>899.99</v>
      </c>
      <c r="J216" s="2" t="s">
        <v>20</v>
      </c>
      <c r="K216" s="2" t="s">
        <v>63</v>
      </c>
      <c r="L216" s="2" t="s">
        <v>36</v>
      </c>
      <c r="M216" s="3">
        <v>44613</v>
      </c>
      <c r="N216" s="2">
        <v>2699.97</v>
      </c>
    </row>
    <row r="217" spans="1:14" x14ac:dyDescent="0.25">
      <c r="A217" s="2" t="s">
        <v>362</v>
      </c>
      <c r="B217" s="3">
        <v>45708</v>
      </c>
      <c r="C217" s="2" t="s">
        <v>192</v>
      </c>
      <c r="D217" s="2" t="s">
        <v>193</v>
      </c>
      <c r="E217" s="2" t="s">
        <v>126</v>
      </c>
      <c r="F217" s="2" t="s">
        <v>127</v>
      </c>
      <c r="G217" s="2" t="s">
        <v>46</v>
      </c>
      <c r="H217" s="2">
        <v>3</v>
      </c>
      <c r="I217" s="2">
        <v>199.99</v>
      </c>
      <c r="J217" s="2" t="s">
        <v>20</v>
      </c>
      <c r="K217" s="2" t="s">
        <v>50</v>
      </c>
      <c r="L217" s="2" t="s">
        <v>27</v>
      </c>
      <c r="M217" s="3">
        <v>44823</v>
      </c>
      <c r="N217" s="2">
        <v>599.97</v>
      </c>
    </row>
    <row r="218" spans="1:14" x14ac:dyDescent="0.25">
      <c r="A218" s="2" t="s">
        <v>363</v>
      </c>
      <c r="B218" s="3">
        <v>45710</v>
      </c>
      <c r="C218" s="2" t="s">
        <v>55</v>
      </c>
      <c r="D218" s="2" t="s">
        <v>56</v>
      </c>
      <c r="E218" s="2" t="s">
        <v>105</v>
      </c>
      <c r="F218" s="2" t="s">
        <v>106</v>
      </c>
      <c r="G218" s="2" t="s">
        <v>46</v>
      </c>
      <c r="H218" s="2">
        <v>5</v>
      </c>
      <c r="I218" s="2">
        <v>299.99</v>
      </c>
      <c r="J218" s="2" t="s">
        <v>20</v>
      </c>
      <c r="K218" s="2" t="s">
        <v>50</v>
      </c>
      <c r="L218" s="2" t="s">
        <v>36</v>
      </c>
      <c r="M218" s="3">
        <v>45142</v>
      </c>
      <c r="N218" s="2">
        <v>1499.95</v>
      </c>
    </row>
    <row r="219" spans="1:14" x14ac:dyDescent="0.25">
      <c r="A219" s="2" t="s">
        <v>364</v>
      </c>
      <c r="B219" s="3">
        <v>45710</v>
      </c>
      <c r="C219" s="2" t="s">
        <v>150</v>
      </c>
      <c r="D219" s="2" t="s">
        <v>151</v>
      </c>
      <c r="E219" s="2" t="s">
        <v>80</v>
      </c>
      <c r="F219" s="2" t="s">
        <v>81</v>
      </c>
      <c r="G219" s="2" t="s">
        <v>19</v>
      </c>
      <c r="H219" s="2">
        <v>1</v>
      </c>
      <c r="I219" s="2">
        <v>699.99</v>
      </c>
      <c r="J219" s="2" t="s">
        <v>34</v>
      </c>
      <c r="K219" s="2" t="s">
        <v>50</v>
      </c>
      <c r="L219" s="2" t="s">
        <v>22</v>
      </c>
      <c r="M219" s="3">
        <v>44934</v>
      </c>
      <c r="N219" s="2">
        <v>699.99</v>
      </c>
    </row>
    <row r="220" spans="1:14" x14ac:dyDescent="0.25">
      <c r="A220" s="2" t="s">
        <v>365</v>
      </c>
      <c r="B220" s="3">
        <v>45711</v>
      </c>
      <c r="C220" s="2" t="s">
        <v>246</v>
      </c>
      <c r="D220" s="2" t="s">
        <v>247</v>
      </c>
      <c r="E220" s="2" t="s">
        <v>80</v>
      </c>
      <c r="F220" s="2" t="s">
        <v>81</v>
      </c>
      <c r="G220" s="2" t="s">
        <v>19</v>
      </c>
      <c r="H220" s="2">
        <v>1</v>
      </c>
      <c r="I220" s="2">
        <v>699.99</v>
      </c>
      <c r="J220" s="2" t="s">
        <v>20</v>
      </c>
      <c r="K220" s="2" t="s">
        <v>40</v>
      </c>
      <c r="L220" s="2" t="s">
        <v>27</v>
      </c>
      <c r="M220" s="3">
        <v>44583</v>
      </c>
      <c r="N220" s="2">
        <v>699.99</v>
      </c>
    </row>
    <row r="221" spans="1:14" x14ac:dyDescent="0.25">
      <c r="A221" s="2" t="s">
        <v>366</v>
      </c>
      <c r="B221" s="3">
        <v>45711</v>
      </c>
      <c r="C221" s="2" t="s">
        <v>325</v>
      </c>
      <c r="D221" s="2" t="s">
        <v>326</v>
      </c>
      <c r="E221" s="2" t="s">
        <v>44</v>
      </c>
      <c r="F221" s="2" t="s">
        <v>45</v>
      </c>
      <c r="G221" s="2" t="s">
        <v>46</v>
      </c>
      <c r="H221" s="2">
        <v>4</v>
      </c>
      <c r="I221" s="2">
        <v>149.99</v>
      </c>
      <c r="J221" s="2" t="s">
        <v>34</v>
      </c>
      <c r="K221" s="2" t="s">
        <v>40</v>
      </c>
      <c r="L221" s="2" t="s">
        <v>27</v>
      </c>
      <c r="M221" s="3">
        <v>44412</v>
      </c>
      <c r="N221" s="2">
        <v>599.96</v>
      </c>
    </row>
    <row r="222" spans="1:14" x14ac:dyDescent="0.25">
      <c r="A222" s="2" t="s">
        <v>367</v>
      </c>
      <c r="B222" s="3">
        <v>45711</v>
      </c>
      <c r="C222" s="2" t="s">
        <v>211</v>
      </c>
      <c r="D222" s="2" t="s">
        <v>212</v>
      </c>
      <c r="E222" s="2" t="s">
        <v>117</v>
      </c>
      <c r="F222" s="2" t="s">
        <v>118</v>
      </c>
      <c r="G222" s="2" t="s">
        <v>19</v>
      </c>
      <c r="H222" s="2">
        <v>5</v>
      </c>
      <c r="I222" s="2">
        <v>89.99</v>
      </c>
      <c r="J222" s="2" t="s">
        <v>34</v>
      </c>
      <c r="K222" s="2" t="s">
        <v>50</v>
      </c>
      <c r="L222" s="2" t="s">
        <v>27</v>
      </c>
      <c r="M222" s="3">
        <v>45140</v>
      </c>
      <c r="N222" s="2">
        <v>449.95</v>
      </c>
    </row>
    <row r="223" spans="1:14" x14ac:dyDescent="0.25">
      <c r="A223" s="2" t="s">
        <v>368</v>
      </c>
      <c r="B223" s="3">
        <v>45712</v>
      </c>
      <c r="C223" s="2" t="s">
        <v>138</v>
      </c>
      <c r="D223" s="2" t="s">
        <v>139</v>
      </c>
      <c r="E223" s="2" t="s">
        <v>126</v>
      </c>
      <c r="F223" s="2" t="s">
        <v>127</v>
      </c>
      <c r="G223" s="2" t="s">
        <v>46</v>
      </c>
      <c r="H223" s="2">
        <v>2</v>
      </c>
      <c r="I223" s="2">
        <v>199.99</v>
      </c>
      <c r="J223" s="2" t="s">
        <v>20</v>
      </c>
      <c r="K223" s="2" t="s">
        <v>21</v>
      </c>
      <c r="L223" s="2" t="s">
        <v>27</v>
      </c>
      <c r="M223" s="3">
        <v>44573</v>
      </c>
      <c r="N223" s="2">
        <v>399.98</v>
      </c>
    </row>
    <row r="224" spans="1:14" x14ac:dyDescent="0.25">
      <c r="A224" s="2" t="s">
        <v>369</v>
      </c>
      <c r="B224" s="3">
        <v>45715</v>
      </c>
      <c r="C224" s="2" t="s">
        <v>259</v>
      </c>
      <c r="D224" s="2" t="s">
        <v>260</v>
      </c>
      <c r="E224" s="2" t="s">
        <v>31</v>
      </c>
      <c r="F224" s="2" t="s">
        <v>32</v>
      </c>
      <c r="G224" s="2" t="s">
        <v>33</v>
      </c>
      <c r="H224" s="2">
        <v>4</v>
      </c>
      <c r="I224" s="2">
        <v>59.99</v>
      </c>
      <c r="J224" s="2" t="s">
        <v>20</v>
      </c>
      <c r="K224" s="2" t="s">
        <v>50</v>
      </c>
      <c r="L224" s="2" t="s">
        <v>36</v>
      </c>
      <c r="M224" s="3">
        <v>45070</v>
      </c>
      <c r="N224" s="2">
        <v>239.96</v>
      </c>
    </row>
    <row r="225" spans="1:14" x14ac:dyDescent="0.25">
      <c r="A225" s="2" t="s">
        <v>370</v>
      </c>
      <c r="B225" s="3">
        <v>45715</v>
      </c>
      <c r="C225" s="2" t="s">
        <v>93</v>
      </c>
      <c r="D225" s="2" t="s">
        <v>94</v>
      </c>
      <c r="E225" s="2" t="s">
        <v>105</v>
      </c>
      <c r="F225" s="2" t="s">
        <v>106</v>
      </c>
      <c r="G225" s="2" t="s">
        <v>46</v>
      </c>
      <c r="H225" s="2">
        <v>2</v>
      </c>
      <c r="I225" s="2">
        <v>299.99</v>
      </c>
      <c r="J225" s="2" t="s">
        <v>34</v>
      </c>
      <c r="K225" s="2" t="s">
        <v>35</v>
      </c>
      <c r="L225" s="2" t="s">
        <v>22</v>
      </c>
      <c r="M225" s="3">
        <v>44576</v>
      </c>
      <c r="N225" s="2">
        <v>599.98</v>
      </c>
    </row>
    <row r="226" spans="1:14" x14ac:dyDescent="0.25">
      <c r="A226" s="2" t="s">
        <v>371</v>
      </c>
      <c r="B226" s="3">
        <v>45718</v>
      </c>
      <c r="C226" s="2" t="s">
        <v>55</v>
      </c>
      <c r="D226" s="2" t="s">
        <v>56</v>
      </c>
      <c r="E226" s="2" t="s">
        <v>44</v>
      </c>
      <c r="F226" s="2" t="s">
        <v>45</v>
      </c>
      <c r="G226" s="2" t="s">
        <v>46</v>
      </c>
      <c r="H226" s="2">
        <v>2</v>
      </c>
      <c r="I226" s="2">
        <v>149.99</v>
      </c>
      <c r="J226" s="2" t="s">
        <v>20</v>
      </c>
      <c r="K226" s="2" t="s">
        <v>21</v>
      </c>
      <c r="L226" s="2" t="s">
        <v>22</v>
      </c>
      <c r="M226" s="3">
        <v>45068</v>
      </c>
      <c r="N226" s="2">
        <v>299.98</v>
      </c>
    </row>
    <row r="227" spans="1:14" x14ac:dyDescent="0.25">
      <c r="A227" s="2" t="s">
        <v>372</v>
      </c>
      <c r="B227" s="3">
        <v>45720</v>
      </c>
      <c r="C227" s="2" t="s">
        <v>226</v>
      </c>
      <c r="D227" s="2" t="s">
        <v>227</v>
      </c>
      <c r="E227" s="2" t="s">
        <v>80</v>
      </c>
      <c r="F227" s="2" t="s">
        <v>81</v>
      </c>
      <c r="G227" s="2" t="s">
        <v>19</v>
      </c>
      <c r="H227" s="2">
        <v>5</v>
      </c>
      <c r="I227" s="2">
        <v>699.99</v>
      </c>
      <c r="J227" s="2" t="s">
        <v>57</v>
      </c>
      <c r="K227" s="2" t="s">
        <v>63</v>
      </c>
      <c r="L227" s="2" t="s">
        <v>27</v>
      </c>
      <c r="M227" s="3">
        <v>45161</v>
      </c>
      <c r="N227" s="2">
        <v>3499.95</v>
      </c>
    </row>
    <row r="228" spans="1:14" x14ac:dyDescent="0.25">
      <c r="A228" s="2" t="s">
        <v>373</v>
      </c>
      <c r="B228" s="3">
        <v>45721</v>
      </c>
      <c r="C228" s="2" t="s">
        <v>75</v>
      </c>
      <c r="D228" s="2" t="s">
        <v>76</v>
      </c>
      <c r="E228" s="2" t="s">
        <v>31</v>
      </c>
      <c r="F228" s="2" t="s">
        <v>32</v>
      </c>
      <c r="G228" s="2" t="s">
        <v>33</v>
      </c>
      <c r="H228" s="2">
        <v>5</v>
      </c>
      <c r="I228" s="2">
        <v>59.99</v>
      </c>
      <c r="J228" s="2" t="s">
        <v>20</v>
      </c>
      <c r="K228" s="2" t="s">
        <v>50</v>
      </c>
      <c r="L228" s="2" t="s">
        <v>27</v>
      </c>
      <c r="M228" s="3">
        <v>45291</v>
      </c>
      <c r="N228" s="2">
        <v>299.95</v>
      </c>
    </row>
    <row r="229" spans="1:14" x14ac:dyDescent="0.25">
      <c r="A229" s="2" t="s">
        <v>374</v>
      </c>
      <c r="B229" s="3">
        <v>45723</v>
      </c>
      <c r="C229" s="2" t="s">
        <v>15</v>
      </c>
      <c r="D229" s="2" t="s">
        <v>16</v>
      </c>
      <c r="E229" s="2" t="s">
        <v>117</v>
      </c>
      <c r="F229" s="2" t="s">
        <v>118</v>
      </c>
      <c r="G229" s="2" t="s">
        <v>19</v>
      </c>
      <c r="H229" s="2">
        <v>2</v>
      </c>
      <c r="I229" s="2">
        <v>89.99</v>
      </c>
      <c r="J229" s="2" t="s">
        <v>26</v>
      </c>
      <c r="K229" s="2" t="s">
        <v>50</v>
      </c>
      <c r="L229" s="2" t="s">
        <v>27</v>
      </c>
      <c r="M229" s="3">
        <v>45295</v>
      </c>
      <c r="N229" s="2">
        <v>179.98</v>
      </c>
    </row>
    <row r="230" spans="1:14" x14ac:dyDescent="0.25">
      <c r="A230" s="2" t="s">
        <v>375</v>
      </c>
      <c r="B230" s="3">
        <v>45723</v>
      </c>
      <c r="C230" s="2" t="s">
        <v>120</v>
      </c>
      <c r="D230" s="2" t="s">
        <v>121</v>
      </c>
      <c r="E230" s="2" t="s">
        <v>17</v>
      </c>
      <c r="F230" s="2" t="s">
        <v>18</v>
      </c>
      <c r="G230" s="2" t="s">
        <v>19</v>
      </c>
      <c r="H230" s="2">
        <v>5</v>
      </c>
      <c r="I230" s="2">
        <v>249.99</v>
      </c>
      <c r="J230" s="2" t="s">
        <v>20</v>
      </c>
      <c r="K230" s="2" t="s">
        <v>63</v>
      </c>
      <c r="L230" s="2" t="s">
        <v>36</v>
      </c>
      <c r="M230" s="3">
        <v>44540</v>
      </c>
      <c r="N230" s="2">
        <v>1249.95</v>
      </c>
    </row>
    <row r="231" spans="1:14" x14ac:dyDescent="0.25">
      <c r="A231" s="2" t="s">
        <v>376</v>
      </c>
      <c r="B231" s="3">
        <v>45724</v>
      </c>
      <c r="C231" s="2" t="s">
        <v>226</v>
      </c>
      <c r="D231" s="2" t="s">
        <v>227</v>
      </c>
      <c r="E231" s="2" t="s">
        <v>44</v>
      </c>
      <c r="F231" s="2" t="s">
        <v>45</v>
      </c>
      <c r="G231" s="2" t="s">
        <v>46</v>
      </c>
      <c r="H231" s="2">
        <v>2</v>
      </c>
      <c r="I231" s="2">
        <v>149.99</v>
      </c>
      <c r="J231" s="2" t="s">
        <v>34</v>
      </c>
      <c r="K231" s="2" t="s">
        <v>21</v>
      </c>
      <c r="L231" s="2" t="s">
        <v>27</v>
      </c>
      <c r="M231" s="3">
        <v>44632</v>
      </c>
      <c r="N231" s="2">
        <v>299.98</v>
      </c>
    </row>
    <row r="232" spans="1:14" x14ac:dyDescent="0.25">
      <c r="A232" s="2" t="s">
        <v>377</v>
      </c>
      <c r="B232" s="3">
        <v>45724</v>
      </c>
      <c r="C232" s="2" t="s">
        <v>144</v>
      </c>
      <c r="D232" s="2" t="s">
        <v>145</v>
      </c>
      <c r="E232" s="2" t="s">
        <v>61</v>
      </c>
      <c r="F232" s="2" t="s">
        <v>62</v>
      </c>
      <c r="G232" s="2" t="s">
        <v>19</v>
      </c>
      <c r="H232" s="2">
        <v>5</v>
      </c>
      <c r="I232" s="2">
        <v>899.99</v>
      </c>
      <c r="J232" s="2" t="s">
        <v>34</v>
      </c>
      <c r="K232" s="2" t="s">
        <v>63</v>
      </c>
      <c r="L232" s="2" t="s">
        <v>27</v>
      </c>
      <c r="M232" s="3">
        <v>45389</v>
      </c>
      <c r="N232" s="2">
        <v>4499.95</v>
      </c>
    </row>
    <row r="233" spans="1:14" x14ac:dyDescent="0.25">
      <c r="A233" s="2" t="s">
        <v>378</v>
      </c>
      <c r="B233" s="3">
        <v>45724</v>
      </c>
      <c r="C233" s="2" t="s">
        <v>55</v>
      </c>
      <c r="D233" s="2" t="s">
        <v>56</v>
      </c>
      <c r="E233" s="2" t="s">
        <v>44</v>
      </c>
      <c r="F233" s="2" t="s">
        <v>45</v>
      </c>
      <c r="G233" s="2" t="s">
        <v>46</v>
      </c>
      <c r="H233" s="2">
        <v>4</v>
      </c>
      <c r="I233" s="2">
        <v>149.99</v>
      </c>
      <c r="J233" s="2" t="s">
        <v>20</v>
      </c>
      <c r="K233" s="2" t="s">
        <v>21</v>
      </c>
      <c r="L233" s="2" t="s">
        <v>36</v>
      </c>
      <c r="M233" s="3">
        <v>45263</v>
      </c>
      <c r="N233" s="2">
        <v>599.96</v>
      </c>
    </row>
    <row r="234" spans="1:14" x14ac:dyDescent="0.25">
      <c r="A234" s="2" t="s">
        <v>379</v>
      </c>
      <c r="B234" s="3">
        <v>45726</v>
      </c>
      <c r="C234" s="2" t="s">
        <v>144</v>
      </c>
      <c r="D234" s="2" t="s">
        <v>145</v>
      </c>
      <c r="E234" s="2" t="s">
        <v>17</v>
      </c>
      <c r="F234" s="2" t="s">
        <v>18</v>
      </c>
      <c r="G234" s="2" t="s">
        <v>19</v>
      </c>
      <c r="H234" s="2">
        <v>1</v>
      </c>
      <c r="I234" s="2">
        <v>249.99</v>
      </c>
      <c r="J234" s="2" t="s">
        <v>20</v>
      </c>
      <c r="K234" s="2" t="s">
        <v>40</v>
      </c>
      <c r="L234" s="2" t="s">
        <v>36</v>
      </c>
      <c r="M234" s="3">
        <v>45117</v>
      </c>
      <c r="N234" s="2">
        <v>249.99</v>
      </c>
    </row>
    <row r="235" spans="1:14" x14ac:dyDescent="0.25">
      <c r="A235" s="2" t="s">
        <v>380</v>
      </c>
      <c r="B235" s="3">
        <v>45734</v>
      </c>
      <c r="C235" s="2" t="s">
        <v>192</v>
      </c>
      <c r="D235" s="2" t="s">
        <v>193</v>
      </c>
      <c r="E235" s="2" t="s">
        <v>31</v>
      </c>
      <c r="F235" s="2" t="s">
        <v>32</v>
      </c>
      <c r="G235" s="2" t="s">
        <v>33</v>
      </c>
      <c r="H235" s="2">
        <v>2</v>
      </c>
      <c r="I235" s="2">
        <v>59.99</v>
      </c>
      <c r="J235" s="2" t="s">
        <v>26</v>
      </c>
      <c r="K235" s="2" t="s">
        <v>50</v>
      </c>
      <c r="L235" s="2" t="s">
        <v>22</v>
      </c>
      <c r="M235" s="3">
        <v>45193</v>
      </c>
      <c r="N235" s="2">
        <v>119.98</v>
      </c>
    </row>
    <row r="236" spans="1:14" x14ac:dyDescent="0.25">
      <c r="A236" s="2" t="s">
        <v>381</v>
      </c>
      <c r="B236" s="3">
        <v>45737</v>
      </c>
      <c r="C236" s="2" t="s">
        <v>132</v>
      </c>
      <c r="D236" s="2" t="s">
        <v>133</v>
      </c>
      <c r="E236" s="2" t="s">
        <v>44</v>
      </c>
      <c r="F236" s="2" t="s">
        <v>45</v>
      </c>
      <c r="G236" s="2" t="s">
        <v>46</v>
      </c>
      <c r="H236" s="2">
        <v>2</v>
      </c>
      <c r="I236" s="2">
        <v>149.99</v>
      </c>
      <c r="J236" s="2" t="s">
        <v>20</v>
      </c>
      <c r="K236" s="2" t="s">
        <v>50</v>
      </c>
      <c r="L236" s="2" t="s">
        <v>27</v>
      </c>
      <c r="M236" s="3">
        <v>45233</v>
      </c>
      <c r="N236" s="2">
        <v>299.98</v>
      </c>
    </row>
    <row r="237" spans="1:14" x14ac:dyDescent="0.25">
      <c r="A237" s="2" t="s">
        <v>382</v>
      </c>
      <c r="B237" s="3">
        <v>45737</v>
      </c>
      <c r="C237" s="2" t="s">
        <v>150</v>
      </c>
      <c r="D237" s="2" t="s">
        <v>151</v>
      </c>
      <c r="E237" s="2" t="s">
        <v>61</v>
      </c>
      <c r="F237" s="2" t="s">
        <v>62</v>
      </c>
      <c r="G237" s="2" t="s">
        <v>19</v>
      </c>
      <c r="H237" s="2">
        <v>3</v>
      </c>
      <c r="I237" s="2">
        <v>899.99</v>
      </c>
      <c r="J237" s="2" t="s">
        <v>57</v>
      </c>
      <c r="K237" s="2" t="s">
        <v>40</v>
      </c>
      <c r="L237" s="2" t="s">
        <v>27</v>
      </c>
      <c r="M237" s="3">
        <v>44876</v>
      </c>
      <c r="N237" s="2">
        <v>2699.97</v>
      </c>
    </row>
    <row r="238" spans="1:14" x14ac:dyDescent="0.25">
      <c r="A238" s="2" t="s">
        <v>383</v>
      </c>
      <c r="B238" s="3">
        <v>45737</v>
      </c>
      <c r="C238" s="2" t="s">
        <v>48</v>
      </c>
      <c r="D238" s="2" t="s">
        <v>49</v>
      </c>
      <c r="E238" s="2" t="s">
        <v>61</v>
      </c>
      <c r="F238" s="2" t="s">
        <v>62</v>
      </c>
      <c r="G238" s="2" t="s">
        <v>19</v>
      </c>
      <c r="H238" s="2">
        <v>3</v>
      </c>
      <c r="I238" s="2">
        <v>899.99</v>
      </c>
      <c r="J238" s="2" t="s">
        <v>34</v>
      </c>
      <c r="K238" s="2" t="s">
        <v>40</v>
      </c>
      <c r="L238" s="2" t="s">
        <v>22</v>
      </c>
      <c r="M238" s="3">
        <v>44975</v>
      </c>
      <c r="N238" s="2">
        <v>2699.97</v>
      </c>
    </row>
    <row r="239" spans="1:14" x14ac:dyDescent="0.25">
      <c r="A239" s="2" t="s">
        <v>384</v>
      </c>
      <c r="B239" s="3">
        <v>45739</v>
      </c>
      <c r="C239" s="2" t="s">
        <v>15</v>
      </c>
      <c r="D239" s="2" t="s">
        <v>16</v>
      </c>
      <c r="E239" s="2" t="s">
        <v>105</v>
      </c>
      <c r="F239" s="2" t="s">
        <v>106</v>
      </c>
      <c r="G239" s="2" t="s">
        <v>46</v>
      </c>
      <c r="H239" s="2">
        <v>3</v>
      </c>
      <c r="I239" s="2">
        <v>299.99</v>
      </c>
      <c r="J239" s="2" t="s">
        <v>26</v>
      </c>
      <c r="K239" s="2" t="s">
        <v>50</v>
      </c>
      <c r="L239" s="2" t="s">
        <v>27</v>
      </c>
      <c r="M239" s="3">
        <v>45234</v>
      </c>
      <c r="N239" s="2">
        <v>899.97</v>
      </c>
    </row>
    <row r="240" spans="1:14" x14ac:dyDescent="0.25">
      <c r="A240" s="2" t="s">
        <v>385</v>
      </c>
      <c r="B240" s="3">
        <v>45740</v>
      </c>
      <c r="C240" s="2" t="s">
        <v>386</v>
      </c>
      <c r="D240" s="2" t="s">
        <v>387</v>
      </c>
      <c r="E240" s="2" t="s">
        <v>44</v>
      </c>
      <c r="F240" s="2" t="s">
        <v>45</v>
      </c>
      <c r="G240" s="2" t="s">
        <v>46</v>
      </c>
      <c r="H240" s="2">
        <v>4</v>
      </c>
      <c r="I240" s="2">
        <v>149.99</v>
      </c>
      <c r="J240" s="2" t="s">
        <v>34</v>
      </c>
      <c r="K240" s="2" t="s">
        <v>50</v>
      </c>
      <c r="L240" s="2" t="s">
        <v>36</v>
      </c>
      <c r="M240" s="3">
        <v>44560</v>
      </c>
      <c r="N240" s="2">
        <v>599.96</v>
      </c>
    </row>
    <row r="241" spans="1:14" x14ac:dyDescent="0.25">
      <c r="A241" s="2" t="s">
        <v>388</v>
      </c>
      <c r="B241" s="3">
        <v>45743</v>
      </c>
      <c r="C241" s="2" t="s">
        <v>102</v>
      </c>
      <c r="D241" s="2" t="s">
        <v>103</v>
      </c>
      <c r="E241" s="2" t="s">
        <v>114</v>
      </c>
      <c r="F241" s="2" t="s">
        <v>115</v>
      </c>
      <c r="G241" s="2" t="s">
        <v>33</v>
      </c>
      <c r="H241" s="2">
        <v>4</v>
      </c>
      <c r="I241" s="2">
        <v>79.989999999999995</v>
      </c>
      <c r="J241" s="2" t="s">
        <v>26</v>
      </c>
      <c r="K241" s="2" t="s">
        <v>21</v>
      </c>
      <c r="L241" s="2" t="s">
        <v>22</v>
      </c>
      <c r="M241" s="3">
        <v>45288</v>
      </c>
      <c r="N241" s="2">
        <v>319.95999999999998</v>
      </c>
    </row>
    <row r="242" spans="1:14" x14ac:dyDescent="0.25">
      <c r="A242" s="2" t="s">
        <v>389</v>
      </c>
      <c r="B242" s="3">
        <v>45745</v>
      </c>
      <c r="C242" s="2" t="s">
        <v>185</v>
      </c>
      <c r="D242" s="2" t="s">
        <v>186</v>
      </c>
      <c r="E242" s="2" t="s">
        <v>117</v>
      </c>
      <c r="F242" s="2" t="s">
        <v>118</v>
      </c>
      <c r="G242" s="2" t="s">
        <v>19</v>
      </c>
      <c r="H242" s="2">
        <v>5</v>
      </c>
      <c r="I242" s="2">
        <v>89.99</v>
      </c>
      <c r="J242" s="2" t="s">
        <v>34</v>
      </c>
      <c r="K242" s="2" t="s">
        <v>35</v>
      </c>
      <c r="L242" s="2" t="s">
        <v>22</v>
      </c>
      <c r="M242" s="3">
        <v>44704</v>
      </c>
      <c r="N242" s="2">
        <v>449.95</v>
      </c>
    </row>
    <row r="243" spans="1:14" x14ac:dyDescent="0.25">
      <c r="A243" s="2" t="s">
        <v>390</v>
      </c>
      <c r="B243" s="3">
        <v>45746</v>
      </c>
      <c r="C243" s="2" t="s">
        <v>93</v>
      </c>
      <c r="D243" s="2" t="s">
        <v>94</v>
      </c>
      <c r="E243" s="2" t="s">
        <v>44</v>
      </c>
      <c r="F243" s="2" t="s">
        <v>45</v>
      </c>
      <c r="G243" s="2" t="s">
        <v>46</v>
      </c>
      <c r="H243" s="2">
        <v>3</v>
      </c>
      <c r="I243" s="2">
        <v>149.99</v>
      </c>
      <c r="J243" s="2" t="s">
        <v>34</v>
      </c>
      <c r="K243" s="2" t="s">
        <v>21</v>
      </c>
      <c r="L243" s="2" t="s">
        <v>36</v>
      </c>
      <c r="M243" s="3">
        <v>45171</v>
      </c>
      <c r="N243" s="2">
        <v>449.97</v>
      </c>
    </row>
    <row r="244" spans="1:14" x14ac:dyDescent="0.25">
      <c r="A244" s="2" t="s">
        <v>391</v>
      </c>
      <c r="B244" s="3">
        <v>45746</v>
      </c>
      <c r="C244" s="2" t="s">
        <v>65</v>
      </c>
      <c r="D244" s="2" t="s">
        <v>66</v>
      </c>
      <c r="E244" s="2" t="s">
        <v>117</v>
      </c>
      <c r="F244" s="2" t="s">
        <v>118</v>
      </c>
      <c r="G244" s="2" t="s">
        <v>19</v>
      </c>
      <c r="H244" s="2">
        <v>2</v>
      </c>
      <c r="I244" s="2">
        <v>89.99</v>
      </c>
      <c r="J244" s="2" t="s">
        <v>57</v>
      </c>
      <c r="K244" s="2" t="s">
        <v>50</v>
      </c>
      <c r="L244" s="2" t="s">
        <v>27</v>
      </c>
      <c r="M244" s="3">
        <v>44522</v>
      </c>
      <c r="N244" s="2">
        <v>179.98</v>
      </c>
    </row>
    <row r="245" spans="1:14" x14ac:dyDescent="0.25">
      <c r="A245" s="2" t="s">
        <v>392</v>
      </c>
      <c r="B245" s="3">
        <v>45748</v>
      </c>
      <c r="C245" s="2" t="s">
        <v>102</v>
      </c>
      <c r="D245" s="2" t="s">
        <v>103</v>
      </c>
      <c r="E245" s="2" t="s">
        <v>80</v>
      </c>
      <c r="F245" s="2" t="s">
        <v>81</v>
      </c>
      <c r="G245" s="2" t="s">
        <v>19</v>
      </c>
      <c r="H245" s="2">
        <v>2</v>
      </c>
      <c r="I245" s="2">
        <v>699.99</v>
      </c>
      <c r="J245" s="2" t="s">
        <v>34</v>
      </c>
      <c r="K245" s="2" t="s">
        <v>40</v>
      </c>
      <c r="L245" s="2" t="s">
        <v>36</v>
      </c>
      <c r="M245" s="3">
        <v>44618</v>
      </c>
      <c r="N245" s="2">
        <v>1399.98</v>
      </c>
    </row>
    <row r="246" spans="1:14" x14ac:dyDescent="0.25">
      <c r="A246" s="2" t="s">
        <v>393</v>
      </c>
      <c r="B246" s="3">
        <v>45749</v>
      </c>
      <c r="C246" s="2" t="s">
        <v>123</v>
      </c>
      <c r="D246" s="2" t="s">
        <v>124</v>
      </c>
      <c r="E246" s="2" t="s">
        <v>61</v>
      </c>
      <c r="F246" s="2" t="s">
        <v>62</v>
      </c>
      <c r="G246" s="2" t="s">
        <v>19</v>
      </c>
      <c r="H246" s="2">
        <v>3</v>
      </c>
      <c r="I246" s="2">
        <v>899.99</v>
      </c>
      <c r="J246" s="2" t="s">
        <v>20</v>
      </c>
      <c r="K246" s="2" t="s">
        <v>21</v>
      </c>
      <c r="L246" s="2" t="s">
        <v>36</v>
      </c>
      <c r="M246" s="3">
        <v>44953</v>
      </c>
      <c r="N246" s="2">
        <v>2699.97</v>
      </c>
    </row>
    <row r="247" spans="1:14" x14ac:dyDescent="0.25">
      <c r="A247" s="2" t="s">
        <v>394</v>
      </c>
      <c r="B247" s="3">
        <v>45755</v>
      </c>
      <c r="C247" s="2" t="s">
        <v>93</v>
      </c>
      <c r="D247" s="2" t="s">
        <v>94</v>
      </c>
      <c r="E247" s="2" t="s">
        <v>114</v>
      </c>
      <c r="F247" s="2" t="s">
        <v>115</v>
      </c>
      <c r="G247" s="2" t="s">
        <v>33</v>
      </c>
      <c r="H247" s="2">
        <v>3</v>
      </c>
      <c r="I247" s="2">
        <v>79.989999999999995</v>
      </c>
      <c r="J247" s="2" t="s">
        <v>26</v>
      </c>
      <c r="K247" s="2" t="s">
        <v>40</v>
      </c>
      <c r="L247" s="2" t="s">
        <v>22</v>
      </c>
      <c r="M247" s="3">
        <v>44511</v>
      </c>
      <c r="N247" s="2">
        <v>239.97</v>
      </c>
    </row>
    <row r="248" spans="1:14" x14ac:dyDescent="0.25">
      <c r="A248" s="2" t="s">
        <v>395</v>
      </c>
      <c r="B248" s="3">
        <v>45756</v>
      </c>
      <c r="C248" s="2" t="s">
        <v>59</v>
      </c>
      <c r="D248" s="2" t="s">
        <v>60</v>
      </c>
      <c r="E248" s="2" t="s">
        <v>117</v>
      </c>
      <c r="F248" s="2" t="s">
        <v>118</v>
      </c>
      <c r="G248" s="2" t="s">
        <v>19</v>
      </c>
      <c r="H248" s="2">
        <v>1</v>
      </c>
      <c r="I248" s="2">
        <v>89.99</v>
      </c>
      <c r="J248" s="2" t="s">
        <v>57</v>
      </c>
      <c r="K248" s="2" t="s">
        <v>63</v>
      </c>
      <c r="L248" s="2" t="s">
        <v>22</v>
      </c>
      <c r="M248" s="3">
        <v>45346</v>
      </c>
      <c r="N248" s="2">
        <v>89.99</v>
      </c>
    </row>
    <row r="249" spans="1:14" x14ac:dyDescent="0.25">
      <c r="A249" s="2" t="s">
        <v>396</v>
      </c>
      <c r="B249" s="3">
        <v>45758</v>
      </c>
      <c r="C249" s="2" t="s">
        <v>293</v>
      </c>
      <c r="D249" s="2" t="s">
        <v>294</v>
      </c>
      <c r="E249" s="2" t="s">
        <v>80</v>
      </c>
      <c r="F249" s="2" t="s">
        <v>81</v>
      </c>
      <c r="G249" s="2" t="s">
        <v>19</v>
      </c>
      <c r="H249" s="2">
        <v>3</v>
      </c>
      <c r="I249" s="2">
        <v>699.99</v>
      </c>
      <c r="J249" s="2" t="s">
        <v>34</v>
      </c>
      <c r="K249" s="2" t="s">
        <v>40</v>
      </c>
      <c r="L249" s="2" t="s">
        <v>22</v>
      </c>
      <c r="M249" s="3">
        <v>44909</v>
      </c>
      <c r="N249" s="2">
        <v>2099.9699999999998</v>
      </c>
    </row>
    <row r="250" spans="1:14" x14ac:dyDescent="0.25">
      <c r="A250" s="2" t="s">
        <v>397</v>
      </c>
      <c r="B250" s="3">
        <v>45758</v>
      </c>
      <c r="C250" s="2" t="s">
        <v>226</v>
      </c>
      <c r="D250" s="2" t="s">
        <v>227</v>
      </c>
      <c r="E250" s="2" t="s">
        <v>117</v>
      </c>
      <c r="F250" s="2" t="s">
        <v>118</v>
      </c>
      <c r="G250" s="2" t="s">
        <v>19</v>
      </c>
      <c r="H250" s="2">
        <v>2</v>
      </c>
      <c r="I250" s="2">
        <v>89.99</v>
      </c>
      <c r="J250" s="2" t="s">
        <v>57</v>
      </c>
      <c r="K250" s="2" t="s">
        <v>63</v>
      </c>
      <c r="L250" s="2" t="s">
        <v>22</v>
      </c>
      <c r="M250" s="3">
        <v>45088</v>
      </c>
      <c r="N250" s="2">
        <v>179.98</v>
      </c>
    </row>
    <row r="251" spans="1:14" x14ac:dyDescent="0.25">
      <c r="A251" s="2" t="s">
        <v>398</v>
      </c>
      <c r="B251" s="3">
        <v>45758</v>
      </c>
      <c r="C251" s="2" t="s">
        <v>138</v>
      </c>
      <c r="D251" s="2" t="s">
        <v>139</v>
      </c>
      <c r="E251" s="2" t="s">
        <v>117</v>
      </c>
      <c r="F251" s="2" t="s">
        <v>118</v>
      </c>
      <c r="G251" s="2" t="s">
        <v>19</v>
      </c>
      <c r="H251" s="2">
        <v>3</v>
      </c>
      <c r="I251" s="2">
        <v>89.99</v>
      </c>
      <c r="J251" s="2" t="s">
        <v>57</v>
      </c>
      <c r="K251" s="2" t="s">
        <v>40</v>
      </c>
      <c r="L251" s="2" t="s">
        <v>27</v>
      </c>
      <c r="M251" s="3">
        <v>44878</v>
      </c>
      <c r="N251" s="2">
        <v>269.97000000000003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21548-35A4-4E87-97D0-9B96499755D6}">
  <dimension ref="A1:D119"/>
  <sheetViews>
    <sheetView topLeftCell="A10" workbookViewId="0">
      <selection activeCell="D1" sqref="D1"/>
    </sheetView>
  </sheetViews>
  <sheetFormatPr defaultRowHeight="15" x14ac:dyDescent="0.25"/>
  <cols>
    <col min="1" max="1" width="20" bestFit="1" customWidth="1"/>
    <col min="2" max="2" width="15.5703125" bestFit="1" customWidth="1"/>
    <col min="3" max="3" width="20.28515625" bestFit="1" customWidth="1"/>
    <col min="4" max="4" width="17" bestFit="1" customWidth="1"/>
  </cols>
  <sheetData>
    <row r="1" spans="1:4" x14ac:dyDescent="0.25">
      <c r="A1" s="16" t="s">
        <v>399</v>
      </c>
      <c r="B1" t="s">
        <v>401</v>
      </c>
      <c r="C1" t="s">
        <v>402</v>
      </c>
      <c r="D1" t="s">
        <v>411</v>
      </c>
    </row>
    <row r="2" spans="1:4" x14ac:dyDescent="0.25">
      <c r="A2" s="17" t="s">
        <v>33</v>
      </c>
      <c r="B2" s="18">
        <v>126</v>
      </c>
      <c r="C2" s="18">
        <v>8338.74</v>
      </c>
      <c r="D2" s="18">
        <v>2859.5699999999983</v>
      </c>
    </row>
    <row r="3" spans="1:4" x14ac:dyDescent="0.25">
      <c r="A3" s="19" t="s">
        <v>326</v>
      </c>
      <c r="B3" s="18">
        <v>1</v>
      </c>
      <c r="C3" s="18">
        <v>59.99</v>
      </c>
      <c r="D3" s="18">
        <v>59.99</v>
      </c>
    </row>
    <row r="4" spans="1:4" x14ac:dyDescent="0.25">
      <c r="A4" s="19" t="s">
        <v>159</v>
      </c>
      <c r="B4" s="18">
        <v>1</v>
      </c>
      <c r="C4" s="18">
        <v>59.99</v>
      </c>
      <c r="D4" s="18">
        <v>59.99</v>
      </c>
    </row>
    <row r="5" spans="1:4" x14ac:dyDescent="0.25">
      <c r="A5" s="19" t="s">
        <v>56</v>
      </c>
      <c r="B5" s="18">
        <v>4</v>
      </c>
      <c r="C5" s="18">
        <v>259.95999999999998</v>
      </c>
      <c r="D5" s="18">
        <v>139.97999999999999</v>
      </c>
    </row>
    <row r="6" spans="1:4" x14ac:dyDescent="0.25">
      <c r="A6" s="19" t="s">
        <v>103</v>
      </c>
      <c r="B6" s="18">
        <v>4</v>
      </c>
      <c r="C6" s="18">
        <v>319.95999999999998</v>
      </c>
      <c r="D6" s="18">
        <v>79.989999999999995</v>
      </c>
    </row>
    <row r="7" spans="1:4" x14ac:dyDescent="0.25">
      <c r="A7" s="19" t="s">
        <v>148</v>
      </c>
      <c r="B7" s="18">
        <v>1</v>
      </c>
      <c r="C7" s="18">
        <v>79.989999999999995</v>
      </c>
      <c r="D7" s="18">
        <v>79.989999999999995</v>
      </c>
    </row>
    <row r="8" spans="1:4" x14ac:dyDescent="0.25">
      <c r="A8" s="19" t="s">
        <v>183</v>
      </c>
      <c r="B8" s="18">
        <v>7</v>
      </c>
      <c r="C8" s="18">
        <v>519.92999999999995</v>
      </c>
      <c r="D8" s="18">
        <v>139.97999999999999</v>
      </c>
    </row>
    <row r="9" spans="1:4" x14ac:dyDescent="0.25">
      <c r="A9" s="19" t="s">
        <v>76</v>
      </c>
      <c r="B9" s="18">
        <v>8</v>
      </c>
      <c r="C9" s="18">
        <v>479.91999999999996</v>
      </c>
      <c r="D9" s="18">
        <v>119.98</v>
      </c>
    </row>
    <row r="10" spans="1:4" x14ac:dyDescent="0.25">
      <c r="A10" s="19" t="s">
        <v>49</v>
      </c>
      <c r="B10" s="18">
        <v>2</v>
      </c>
      <c r="C10" s="18">
        <v>119.98</v>
      </c>
      <c r="D10" s="18">
        <v>59.99</v>
      </c>
    </row>
    <row r="11" spans="1:4" x14ac:dyDescent="0.25">
      <c r="A11" s="19" t="s">
        <v>294</v>
      </c>
      <c r="B11" s="18">
        <v>1</v>
      </c>
      <c r="C11" s="18">
        <v>79.989999999999995</v>
      </c>
      <c r="D11" s="18">
        <v>79.989999999999995</v>
      </c>
    </row>
    <row r="12" spans="1:4" x14ac:dyDescent="0.25">
      <c r="A12" s="19" t="s">
        <v>124</v>
      </c>
      <c r="B12" s="18">
        <v>4</v>
      </c>
      <c r="C12" s="18">
        <v>239.96</v>
      </c>
      <c r="D12" s="18">
        <v>59.99</v>
      </c>
    </row>
    <row r="13" spans="1:4" x14ac:dyDescent="0.25">
      <c r="A13" s="19" t="s">
        <v>133</v>
      </c>
      <c r="B13" s="18">
        <v>5</v>
      </c>
      <c r="C13" s="18">
        <v>299.95</v>
      </c>
      <c r="D13" s="18">
        <v>119.98</v>
      </c>
    </row>
    <row r="14" spans="1:4" x14ac:dyDescent="0.25">
      <c r="A14" s="19" t="s">
        <v>193</v>
      </c>
      <c r="B14" s="18">
        <v>3</v>
      </c>
      <c r="C14" s="18">
        <v>179.97</v>
      </c>
      <c r="D14" s="18">
        <v>119.98</v>
      </c>
    </row>
    <row r="15" spans="1:4" x14ac:dyDescent="0.25">
      <c r="A15" s="19" t="s">
        <v>84</v>
      </c>
      <c r="B15" s="18">
        <v>3</v>
      </c>
      <c r="C15" s="18">
        <v>179.97</v>
      </c>
      <c r="D15" s="18">
        <v>59.99</v>
      </c>
    </row>
    <row r="16" spans="1:4" x14ac:dyDescent="0.25">
      <c r="A16" s="19" t="s">
        <v>197</v>
      </c>
      <c r="B16" s="18">
        <v>3</v>
      </c>
      <c r="C16" s="18">
        <v>179.97</v>
      </c>
      <c r="D16" s="18">
        <v>59.99</v>
      </c>
    </row>
    <row r="17" spans="1:4" x14ac:dyDescent="0.25">
      <c r="A17" s="19" t="s">
        <v>121</v>
      </c>
      <c r="B17" s="18">
        <v>5</v>
      </c>
      <c r="C17" s="18">
        <v>359.95</v>
      </c>
      <c r="D17" s="18">
        <v>139.97999999999999</v>
      </c>
    </row>
    <row r="18" spans="1:4" x14ac:dyDescent="0.25">
      <c r="A18" s="19" t="s">
        <v>305</v>
      </c>
      <c r="B18" s="18">
        <v>3</v>
      </c>
      <c r="C18" s="18">
        <v>179.97</v>
      </c>
      <c r="D18" s="18">
        <v>59.99</v>
      </c>
    </row>
    <row r="19" spans="1:4" x14ac:dyDescent="0.25">
      <c r="A19" s="19" t="s">
        <v>142</v>
      </c>
      <c r="B19" s="18">
        <v>8</v>
      </c>
      <c r="C19" s="18">
        <v>639.91999999999996</v>
      </c>
      <c r="D19" s="18">
        <v>159.97999999999999</v>
      </c>
    </row>
    <row r="20" spans="1:4" x14ac:dyDescent="0.25">
      <c r="A20" s="19" t="s">
        <v>163</v>
      </c>
      <c r="B20" s="18">
        <v>4</v>
      </c>
      <c r="C20" s="18">
        <v>239.96</v>
      </c>
      <c r="D20" s="18">
        <v>59.99</v>
      </c>
    </row>
    <row r="21" spans="1:4" x14ac:dyDescent="0.25">
      <c r="A21" s="19" t="s">
        <v>66</v>
      </c>
      <c r="B21" s="18">
        <v>3</v>
      </c>
      <c r="C21" s="18">
        <v>179.97</v>
      </c>
      <c r="D21" s="18">
        <v>59.99</v>
      </c>
    </row>
    <row r="22" spans="1:4" x14ac:dyDescent="0.25">
      <c r="A22" s="19" t="s">
        <v>39</v>
      </c>
      <c r="B22" s="18">
        <v>3</v>
      </c>
      <c r="C22" s="18">
        <v>179.97</v>
      </c>
      <c r="D22" s="18">
        <v>59.99</v>
      </c>
    </row>
    <row r="23" spans="1:4" x14ac:dyDescent="0.25">
      <c r="A23" s="19" t="s">
        <v>30</v>
      </c>
      <c r="B23" s="18">
        <v>4</v>
      </c>
      <c r="C23" s="18">
        <v>259.95999999999998</v>
      </c>
      <c r="D23" s="18">
        <v>139.97999999999999</v>
      </c>
    </row>
    <row r="24" spans="1:4" x14ac:dyDescent="0.25">
      <c r="A24" s="19" t="s">
        <v>227</v>
      </c>
      <c r="B24" s="18">
        <v>3</v>
      </c>
      <c r="C24" s="18">
        <v>239.97</v>
      </c>
      <c r="D24" s="18">
        <v>79.989999999999995</v>
      </c>
    </row>
    <row r="25" spans="1:4" x14ac:dyDescent="0.25">
      <c r="A25" s="19" t="s">
        <v>113</v>
      </c>
      <c r="B25" s="18">
        <v>3</v>
      </c>
      <c r="C25" s="18">
        <v>239.97</v>
      </c>
      <c r="D25" s="18">
        <v>79.989999999999995</v>
      </c>
    </row>
    <row r="26" spans="1:4" x14ac:dyDescent="0.25">
      <c r="A26" s="19" t="s">
        <v>130</v>
      </c>
      <c r="B26" s="18">
        <v>8</v>
      </c>
      <c r="C26" s="18">
        <v>539.91999999999996</v>
      </c>
      <c r="D26" s="18">
        <v>139.97999999999999</v>
      </c>
    </row>
    <row r="27" spans="1:4" x14ac:dyDescent="0.25">
      <c r="A27" s="19" t="s">
        <v>90</v>
      </c>
      <c r="B27" s="18">
        <v>2</v>
      </c>
      <c r="C27" s="18">
        <v>119.98</v>
      </c>
      <c r="D27" s="18">
        <v>59.99</v>
      </c>
    </row>
    <row r="28" spans="1:4" x14ac:dyDescent="0.25">
      <c r="A28" s="19" t="s">
        <v>109</v>
      </c>
      <c r="B28" s="18">
        <v>3</v>
      </c>
      <c r="C28" s="18">
        <v>239.97</v>
      </c>
      <c r="D28" s="18">
        <v>79.989999999999995</v>
      </c>
    </row>
    <row r="29" spans="1:4" x14ac:dyDescent="0.25">
      <c r="A29" s="19" t="s">
        <v>16</v>
      </c>
      <c r="B29" s="18">
        <v>5</v>
      </c>
      <c r="C29" s="18">
        <v>299.95</v>
      </c>
      <c r="D29" s="18">
        <v>59.99</v>
      </c>
    </row>
    <row r="30" spans="1:4" x14ac:dyDescent="0.25">
      <c r="A30" s="19" t="s">
        <v>172</v>
      </c>
      <c r="B30" s="18">
        <v>4</v>
      </c>
      <c r="C30" s="18">
        <v>239.96</v>
      </c>
      <c r="D30" s="18">
        <v>59.99</v>
      </c>
    </row>
    <row r="31" spans="1:4" x14ac:dyDescent="0.25">
      <c r="A31" s="19" t="s">
        <v>260</v>
      </c>
      <c r="B31" s="18">
        <v>4</v>
      </c>
      <c r="C31" s="18">
        <v>239.96</v>
      </c>
      <c r="D31" s="18">
        <v>59.99</v>
      </c>
    </row>
    <row r="32" spans="1:4" x14ac:dyDescent="0.25">
      <c r="A32" s="19" t="s">
        <v>151</v>
      </c>
      <c r="B32" s="18">
        <v>7</v>
      </c>
      <c r="C32" s="18">
        <v>419.93</v>
      </c>
      <c r="D32" s="18">
        <v>119.98</v>
      </c>
    </row>
    <row r="33" spans="1:4" x14ac:dyDescent="0.25">
      <c r="A33" s="19" t="s">
        <v>139</v>
      </c>
      <c r="B33" s="18">
        <v>3</v>
      </c>
      <c r="C33" s="18">
        <v>179.97</v>
      </c>
      <c r="D33" s="18">
        <v>59.99</v>
      </c>
    </row>
    <row r="34" spans="1:4" x14ac:dyDescent="0.25">
      <c r="A34" s="19" t="s">
        <v>69</v>
      </c>
      <c r="B34" s="18">
        <v>4</v>
      </c>
      <c r="C34" s="18">
        <v>239.96</v>
      </c>
      <c r="D34" s="18">
        <v>59.99</v>
      </c>
    </row>
    <row r="35" spans="1:4" x14ac:dyDescent="0.25">
      <c r="A35" s="19" t="s">
        <v>94</v>
      </c>
      <c r="B35" s="18">
        <v>3</v>
      </c>
      <c r="C35" s="18">
        <v>239.97</v>
      </c>
      <c r="D35" s="18">
        <v>79.989999999999995</v>
      </c>
    </row>
    <row r="36" spans="1:4" x14ac:dyDescent="0.25">
      <c r="A36" s="17" t="s">
        <v>19</v>
      </c>
      <c r="B36" s="18">
        <v>395</v>
      </c>
      <c r="C36" s="18">
        <v>171756.05</v>
      </c>
      <c r="D36" s="18">
        <v>55258.690000000031</v>
      </c>
    </row>
    <row r="37" spans="1:4" x14ac:dyDescent="0.25">
      <c r="A37" s="19" t="s">
        <v>326</v>
      </c>
      <c r="B37" s="18">
        <v>1</v>
      </c>
      <c r="C37" s="18">
        <v>899.99</v>
      </c>
      <c r="D37" s="18">
        <v>899.99</v>
      </c>
    </row>
    <row r="38" spans="1:4" x14ac:dyDescent="0.25">
      <c r="A38" s="19" t="s">
        <v>97</v>
      </c>
      <c r="B38" s="18">
        <v>20</v>
      </c>
      <c r="C38" s="18">
        <v>10649.8</v>
      </c>
      <c r="D38" s="18">
        <v>2639.95</v>
      </c>
    </row>
    <row r="39" spans="1:4" x14ac:dyDescent="0.25">
      <c r="A39" s="19" t="s">
        <v>159</v>
      </c>
      <c r="B39" s="18">
        <v>10</v>
      </c>
      <c r="C39" s="18">
        <v>4589.8999999999996</v>
      </c>
      <c r="D39" s="18">
        <v>1039.97</v>
      </c>
    </row>
    <row r="40" spans="1:4" x14ac:dyDescent="0.25">
      <c r="A40" s="19" t="s">
        <v>232</v>
      </c>
      <c r="B40" s="18">
        <v>4</v>
      </c>
      <c r="C40" s="18">
        <v>699.96</v>
      </c>
      <c r="D40" s="18">
        <v>399.98</v>
      </c>
    </row>
    <row r="41" spans="1:4" x14ac:dyDescent="0.25">
      <c r="A41" s="19" t="s">
        <v>56</v>
      </c>
      <c r="B41" s="18">
        <v>7</v>
      </c>
      <c r="C41" s="18">
        <v>1429.93</v>
      </c>
      <c r="D41" s="18">
        <v>429.97</v>
      </c>
    </row>
    <row r="42" spans="1:4" x14ac:dyDescent="0.25">
      <c r="A42" s="19" t="s">
        <v>103</v>
      </c>
      <c r="B42" s="18">
        <v>6</v>
      </c>
      <c r="C42" s="18">
        <v>2399.94</v>
      </c>
      <c r="D42" s="18">
        <v>949.98</v>
      </c>
    </row>
    <row r="43" spans="1:4" x14ac:dyDescent="0.25">
      <c r="A43" s="19" t="s">
        <v>148</v>
      </c>
      <c r="B43" s="18">
        <v>12</v>
      </c>
      <c r="C43" s="18">
        <v>5129.8799999999992</v>
      </c>
      <c r="D43" s="18">
        <v>1079.97</v>
      </c>
    </row>
    <row r="44" spans="1:4" x14ac:dyDescent="0.25">
      <c r="A44" s="19" t="s">
        <v>183</v>
      </c>
      <c r="B44" s="18">
        <v>5</v>
      </c>
      <c r="C44" s="18">
        <v>689.95</v>
      </c>
      <c r="D44" s="18">
        <v>239.98000000000002</v>
      </c>
    </row>
    <row r="45" spans="1:4" x14ac:dyDescent="0.25">
      <c r="A45" s="19" t="s">
        <v>49</v>
      </c>
      <c r="B45" s="18">
        <v>16</v>
      </c>
      <c r="C45" s="18">
        <v>7249.84</v>
      </c>
      <c r="D45" s="18">
        <v>1999.96</v>
      </c>
    </row>
    <row r="46" spans="1:4" x14ac:dyDescent="0.25">
      <c r="A46" s="19" t="s">
        <v>294</v>
      </c>
      <c r="B46" s="18">
        <v>10</v>
      </c>
      <c r="C46" s="18">
        <v>4749.8999999999996</v>
      </c>
      <c r="D46" s="18">
        <v>1649.97</v>
      </c>
    </row>
    <row r="47" spans="1:4" x14ac:dyDescent="0.25">
      <c r="A47" s="19" t="s">
        <v>124</v>
      </c>
      <c r="B47" s="18">
        <v>15</v>
      </c>
      <c r="C47" s="18">
        <v>10879.849999999999</v>
      </c>
      <c r="D47" s="18">
        <v>2589.96</v>
      </c>
    </row>
    <row r="48" spans="1:4" x14ac:dyDescent="0.25">
      <c r="A48" s="19" t="s">
        <v>212</v>
      </c>
      <c r="B48" s="18">
        <v>7</v>
      </c>
      <c r="C48" s="18">
        <v>1849.93</v>
      </c>
      <c r="D48" s="18">
        <v>789.98</v>
      </c>
    </row>
    <row r="49" spans="1:4" x14ac:dyDescent="0.25">
      <c r="A49" s="19" t="s">
        <v>133</v>
      </c>
      <c r="B49" s="18">
        <v>2</v>
      </c>
      <c r="C49" s="18">
        <v>179.98</v>
      </c>
      <c r="D49" s="18">
        <v>89.99</v>
      </c>
    </row>
    <row r="50" spans="1:4" x14ac:dyDescent="0.25">
      <c r="A50" s="19" t="s">
        <v>84</v>
      </c>
      <c r="B50" s="18">
        <v>4</v>
      </c>
      <c r="C50" s="18">
        <v>3599.96</v>
      </c>
      <c r="D50" s="18">
        <v>1799.98</v>
      </c>
    </row>
    <row r="51" spans="1:4" x14ac:dyDescent="0.25">
      <c r="A51" s="19" t="s">
        <v>197</v>
      </c>
      <c r="B51" s="18">
        <v>10</v>
      </c>
      <c r="C51" s="18">
        <v>6199.9</v>
      </c>
      <c r="D51" s="18">
        <v>1849.97</v>
      </c>
    </row>
    <row r="52" spans="1:4" x14ac:dyDescent="0.25">
      <c r="A52" s="19" t="s">
        <v>145</v>
      </c>
      <c r="B52" s="18">
        <v>11</v>
      </c>
      <c r="C52" s="18">
        <v>5519.8899999999994</v>
      </c>
      <c r="D52" s="18">
        <v>1489.96</v>
      </c>
    </row>
    <row r="53" spans="1:4" x14ac:dyDescent="0.25">
      <c r="A53" s="19" t="s">
        <v>121</v>
      </c>
      <c r="B53" s="18">
        <v>11</v>
      </c>
      <c r="C53" s="18">
        <v>5149.8900000000003</v>
      </c>
      <c r="D53" s="18">
        <v>1299.97</v>
      </c>
    </row>
    <row r="54" spans="1:4" x14ac:dyDescent="0.25">
      <c r="A54" s="19" t="s">
        <v>142</v>
      </c>
      <c r="B54" s="18">
        <v>5</v>
      </c>
      <c r="C54" s="18">
        <v>3499.95</v>
      </c>
      <c r="D54" s="18">
        <v>699.99</v>
      </c>
    </row>
    <row r="55" spans="1:4" x14ac:dyDescent="0.25">
      <c r="A55" s="19" t="s">
        <v>25</v>
      </c>
      <c r="B55" s="18">
        <v>16</v>
      </c>
      <c r="C55" s="18">
        <v>6949.84</v>
      </c>
      <c r="D55" s="18">
        <v>1699.95</v>
      </c>
    </row>
    <row r="56" spans="1:4" x14ac:dyDescent="0.25">
      <c r="A56" s="19" t="s">
        <v>66</v>
      </c>
      <c r="B56" s="18">
        <v>14</v>
      </c>
      <c r="C56" s="18">
        <v>6329.86</v>
      </c>
      <c r="D56" s="18">
        <v>1989.95</v>
      </c>
    </row>
    <row r="57" spans="1:4" x14ac:dyDescent="0.25">
      <c r="A57" s="19" t="s">
        <v>39</v>
      </c>
      <c r="B57" s="18">
        <v>7</v>
      </c>
      <c r="C57" s="18">
        <v>2579.9299999999998</v>
      </c>
      <c r="D57" s="18">
        <v>939.97</v>
      </c>
    </row>
    <row r="58" spans="1:4" x14ac:dyDescent="0.25">
      <c r="A58" s="19" t="s">
        <v>30</v>
      </c>
      <c r="B58" s="18">
        <v>1</v>
      </c>
      <c r="C58" s="18">
        <v>899.99</v>
      </c>
      <c r="D58" s="18">
        <v>899.99</v>
      </c>
    </row>
    <row r="59" spans="1:4" x14ac:dyDescent="0.25">
      <c r="A59" s="19" t="s">
        <v>227</v>
      </c>
      <c r="B59" s="18">
        <v>14</v>
      </c>
      <c r="C59" s="18">
        <v>5649.86</v>
      </c>
      <c r="D59" s="18">
        <v>1729.95</v>
      </c>
    </row>
    <row r="60" spans="1:4" x14ac:dyDescent="0.25">
      <c r="A60" s="19" t="s">
        <v>113</v>
      </c>
      <c r="B60" s="18">
        <v>2</v>
      </c>
      <c r="C60" s="18">
        <v>299.98</v>
      </c>
      <c r="D60" s="18">
        <v>149.99</v>
      </c>
    </row>
    <row r="61" spans="1:4" x14ac:dyDescent="0.25">
      <c r="A61" s="19" t="s">
        <v>130</v>
      </c>
      <c r="B61" s="18">
        <v>10</v>
      </c>
      <c r="C61" s="18">
        <v>1199.9000000000001</v>
      </c>
      <c r="D61" s="18">
        <v>239.98000000000002</v>
      </c>
    </row>
    <row r="62" spans="1:4" x14ac:dyDescent="0.25">
      <c r="A62" s="19" t="s">
        <v>186</v>
      </c>
      <c r="B62" s="18">
        <v>11</v>
      </c>
      <c r="C62" s="18">
        <v>1949.89</v>
      </c>
      <c r="D62" s="18">
        <v>589.97</v>
      </c>
    </row>
    <row r="63" spans="1:4" x14ac:dyDescent="0.25">
      <c r="A63" s="19" t="s">
        <v>90</v>
      </c>
      <c r="B63" s="18">
        <v>3</v>
      </c>
      <c r="C63" s="18">
        <v>1489.97</v>
      </c>
      <c r="D63" s="18">
        <v>789.98</v>
      </c>
    </row>
    <row r="64" spans="1:4" x14ac:dyDescent="0.25">
      <c r="A64" s="19" t="s">
        <v>87</v>
      </c>
      <c r="B64" s="18">
        <v>18</v>
      </c>
      <c r="C64" s="18">
        <v>11159.819999999998</v>
      </c>
      <c r="D64" s="18">
        <v>4079.9299999999994</v>
      </c>
    </row>
    <row r="65" spans="1:4" x14ac:dyDescent="0.25">
      <c r="A65" s="19" t="s">
        <v>43</v>
      </c>
      <c r="B65" s="18">
        <v>5</v>
      </c>
      <c r="C65" s="18">
        <v>1669.95</v>
      </c>
      <c r="D65" s="18">
        <v>789.98</v>
      </c>
    </row>
    <row r="66" spans="1:4" x14ac:dyDescent="0.25">
      <c r="A66" s="19" t="s">
        <v>79</v>
      </c>
      <c r="B66" s="18">
        <v>6</v>
      </c>
      <c r="C66" s="18">
        <v>4199.9399999999996</v>
      </c>
      <c r="D66" s="18">
        <v>1399.98</v>
      </c>
    </row>
    <row r="67" spans="1:4" x14ac:dyDescent="0.25">
      <c r="A67" s="19" t="s">
        <v>109</v>
      </c>
      <c r="B67" s="18">
        <v>10</v>
      </c>
      <c r="C67" s="18">
        <v>2199.9</v>
      </c>
      <c r="D67" s="18">
        <v>649.97</v>
      </c>
    </row>
    <row r="68" spans="1:4" x14ac:dyDescent="0.25">
      <c r="A68" s="19" t="s">
        <v>100</v>
      </c>
      <c r="B68" s="18">
        <v>22</v>
      </c>
      <c r="C68" s="18">
        <v>8299.7800000000007</v>
      </c>
      <c r="D68" s="18">
        <v>2119.94</v>
      </c>
    </row>
    <row r="69" spans="1:4" x14ac:dyDescent="0.25">
      <c r="A69" s="19" t="s">
        <v>16</v>
      </c>
      <c r="B69" s="18">
        <v>18</v>
      </c>
      <c r="C69" s="18">
        <v>7109.8199999999988</v>
      </c>
      <c r="D69" s="18">
        <v>1829.94</v>
      </c>
    </row>
    <row r="70" spans="1:4" x14ac:dyDescent="0.25">
      <c r="A70" s="19" t="s">
        <v>73</v>
      </c>
      <c r="B70" s="18">
        <v>9</v>
      </c>
      <c r="C70" s="18">
        <v>5049.91</v>
      </c>
      <c r="D70" s="18">
        <v>1749.97</v>
      </c>
    </row>
    <row r="71" spans="1:4" x14ac:dyDescent="0.25">
      <c r="A71" s="19" t="s">
        <v>172</v>
      </c>
      <c r="B71" s="18">
        <v>11</v>
      </c>
      <c r="C71" s="18">
        <v>3429.8900000000003</v>
      </c>
      <c r="D71" s="18">
        <v>879.97</v>
      </c>
    </row>
    <row r="72" spans="1:4" x14ac:dyDescent="0.25">
      <c r="A72" s="19" t="s">
        <v>60</v>
      </c>
      <c r="B72" s="18">
        <v>7</v>
      </c>
      <c r="C72" s="18">
        <v>3059.9299999999994</v>
      </c>
      <c r="D72" s="18">
        <v>1169.96</v>
      </c>
    </row>
    <row r="73" spans="1:4" x14ac:dyDescent="0.25">
      <c r="A73" s="19" t="s">
        <v>247</v>
      </c>
      <c r="B73" s="18">
        <v>5</v>
      </c>
      <c r="C73" s="18">
        <v>1299.95</v>
      </c>
      <c r="D73" s="18">
        <v>849.98</v>
      </c>
    </row>
    <row r="74" spans="1:4" x14ac:dyDescent="0.25">
      <c r="A74" s="19" t="s">
        <v>235</v>
      </c>
      <c r="B74" s="18">
        <v>9</v>
      </c>
      <c r="C74" s="18">
        <v>4699.91</v>
      </c>
      <c r="D74" s="18">
        <v>1749.97</v>
      </c>
    </row>
    <row r="75" spans="1:4" x14ac:dyDescent="0.25">
      <c r="A75" s="19" t="s">
        <v>155</v>
      </c>
      <c r="B75" s="18">
        <v>10</v>
      </c>
      <c r="C75" s="18">
        <v>3949.8999999999996</v>
      </c>
      <c r="D75" s="18">
        <v>1489.97</v>
      </c>
    </row>
    <row r="76" spans="1:4" x14ac:dyDescent="0.25">
      <c r="A76" s="19" t="s">
        <v>151</v>
      </c>
      <c r="B76" s="18">
        <v>6</v>
      </c>
      <c r="C76" s="18">
        <v>5199.9400000000005</v>
      </c>
      <c r="D76" s="18">
        <v>3399.96</v>
      </c>
    </row>
    <row r="77" spans="1:4" x14ac:dyDescent="0.25">
      <c r="A77" s="19" t="s">
        <v>139</v>
      </c>
      <c r="B77" s="18">
        <v>7</v>
      </c>
      <c r="C77" s="18">
        <v>869.93000000000006</v>
      </c>
      <c r="D77" s="18">
        <v>239.98000000000002</v>
      </c>
    </row>
    <row r="78" spans="1:4" x14ac:dyDescent="0.25">
      <c r="A78" s="19" t="s">
        <v>69</v>
      </c>
      <c r="B78" s="18">
        <v>1</v>
      </c>
      <c r="C78" s="18">
        <v>89.99</v>
      </c>
      <c r="D78" s="18">
        <v>89.99</v>
      </c>
    </row>
    <row r="79" spans="1:4" x14ac:dyDescent="0.25">
      <c r="A79" s="19" t="s">
        <v>94</v>
      </c>
      <c r="B79" s="18">
        <v>8</v>
      </c>
      <c r="C79" s="18">
        <v>1999.92</v>
      </c>
      <c r="D79" s="18">
        <v>499.98</v>
      </c>
    </row>
    <row r="80" spans="1:4" x14ac:dyDescent="0.25">
      <c r="A80" s="19" t="s">
        <v>253</v>
      </c>
      <c r="B80" s="18">
        <v>9</v>
      </c>
      <c r="C80" s="18">
        <v>4749.91</v>
      </c>
      <c r="D80" s="18">
        <v>1299.97</v>
      </c>
    </row>
    <row r="81" spans="1:4" x14ac:dyDescent="0.25">
      <c r="A81" s="17" t="s">
        <v>46</v>
      </c>
      <c r="B81" s="18">
        <v>232</v>
      </c>
      <c r="C81" s="18">
        <v>49097.680000000015</v>
      </c>
      <c r="D81" s="18">
        <v>16049.239999999994</v>
      </c>
    </row>
    <row r="82" spans="1:4" x14ac:dyDescent="0.25">
      <c r="A82" s="19" t="s">
        <v>326</v>
      </c>
      <c r="B82" s="18">
        <v>4</v>
      </c>
      <c r="C82" s="18">
        <v>599.96</v>
      </c>
      <c r="D82" s="18">
        <v>149.99</v>
      </c>
    </row>
    <row r="83" spans="1:4" x14ac:dyDescent="0.25">
      <c r="A83" s="19" t="s">
        <v>159</v>
      </c>
      <c r="B83" s="18">
        <v>5</v>
      </c>
      <c r="C83" s="18">
        <v>999.95</v>
      </c>
      <c r="D83" s="18">
        <v>199.99</v>
      </c>
    </row>
    <row r="84" spans="1:4" x14ac:dyDescent="0.25">
      <c r="A84" s="19" t="s">
        <v>232</v>
      </c>
      <c r="B84" s="18">
        <v>3</v>
      </c>
      <c r="C84" s="18">
        <v>449.97</v>
      </c>
      <c r="D84" s="18">
        <v>149.99</v>
      </c>
    </row>
    <row r="85" spans="1:4" x14ac:dyDescent="0.25">
      <c r="A85" s="19" t="s">
        <v>56</v>
      </c>
      <c r="B85" s="18">
        <v>16</v>
      </c>
      <c r="C85" s="18">
        <v>3399.84</v>
      </c>
      <c r="D85" s="18">
        <v>799.96</v>
      </c>
    </row>
    <row r="86" spans="1:4" x14ac:dyDescent="0.25">
      <c r="A86" s="19" t="s">
        <v>103</v>
      </c>
      <c r="B86" s="18">
        <v>7</v>
      </c>
      <c r="C86" s="18">
        <v>1049.93</v>
      </c>
      <c r="D86" s="18">
        <v>299.98</v>
      </c>
    </row>
    <row r="87" spans="1:4" x14ac:dyDescent="0.25">
      <c r="A87" s="19" t="s">
        <v>148</v>
      </c>
      <c r="B87" s="18">
        <v>7</v>
      </c>
      <c r="C87" s="18">
        <v>2099.9300000000003</v>
      </c>
      <c r="D87" s="18">
        <v>899.97</v>
      </c>
    </row>
    <row r="88" spans="1:4" x14ac:dyDescent="0.25">
      <c r="A88" s="19" t="s">
        <v>183</v>
      </c>
      <c r="B88" s="18">
        <v>4</v>
      </c>
      <c r="C88" s="18">
        <v>599.96</v>
      </c>
      <c r="D88" s="18">
        <v>299.98</v>
      </c>
    </row>
    <row r="89" spans="1:4" x14ac:dyDescent="0.25">
      <c r="A89" s="19" t="s">
        <v>49</v>
      </c>
      <c r="B89" s="18">
        <v>3</v>
      </c>
      <c r="C89" s="18">
        <v>899.97</v>
      </c>
      <c r="D89" s="18">
        <v>299.99</v>
      </c>
    </row>
    <row r="90" spans="1:4" x14ac:dyDescent="0.25">
      <c r="A90" s="19" t="s">
        <v>124</v>
      </c>
      <c r="B90" s="18">
        <v>4</v>
      </c>
      <c r="C90" s="18">
        <v>799.96</v>
      </c>
      <c r="D90" s="18">
        <v>199.99</v>
      </c>
    </row>
    <row r="91" spans="1:4" x14ac:dyDescent="0.25">
      <c r="A91" s="19" t="s">
        <v>212</v>
      </c>
      <c r="B91" s="18">
        <v>7</v>
      </c>
      <c r="C91" s="18">
        <v>1799.93</v>
      </c>
      <c r="D91" s="18">
        <v>449.98</v>
      </c>
    </row>
    <row r="92" spans="1:4" x14ac:dyDescent="0.25">
      <c r="A92" s="19" t="s">
        <v>133</v>
      </c>
      <c r="B92" s="18">
        <v>5</v>
      </c>
      <c r="C92" s="18">
        <v>749.95</v>
      </c>
      <c r="D92" s="18">
        <v>299.98</v>
      </c>
    </row>
    <row r="93" spans="1:4" x14ac:dyDescent="0.25">
      <c r="A93" s="19" t="s">
        <v>193</v>
      </c>
      <c r="B93" s="18">
        <v>6</v>
      </c>
      <c r="C93" s="18">
        <v>1299.94</v>
      </c>
      <c r="D93" s="18">
        <v>699.97</v>
      </c>
    </row>
    <row r="94" spans="1:4" x14ac:dyDescent="0.25">
      <c r="A94" s="19" t="s">
        <v>121</v>
      </c>
      <c r="B94" s="18">
        <v>5</v>
      </c>
      <c r="C94" s="18">
        <v>949.95</v>
      </c>
      <c r="D94" s="18">
        <v>349.98</v>
      </c>
    </row>
    <row r="95" spans="1:4" x14ac:dyDescent="0.25">
      <c r="A95" s="19" t="s">
        <v>142</v>
      </c>
      <c r="B95" s="18">
        <v>2</v>
      </c>
      <c r="C95" s="18">
        <v>599.98</v>
      </c>
      <c r="D95" s="18">
        <v>299.99</v>
      </c>
    </row>
    <row r="96" spans="1:4" x14ac:dyDescent="0.25">
      <c r="A96" s="19" t="s">
        <v>387</v>
      </c>
      <c r="B96" s="18">
        <v>4</v>
      </c>
      <c r="C96" s="18">
        <v>599.96</v>
      </c>
      <c r="D96" s="18">
        <v>149.99</v>
      </c>
    </row>
    <row r="97" spans="1:4" x14ac:dyDescent="0.25">
      <c r="A97" s="19" t="s">
        <v>66</v>
      </c>
      <c r="B97" s="18">
        <v>6</v>
      </c>
      <c r="C97" s="18">
        <v>1499.94</v>
      </c>
      <c r="D97" s="18">
        <v>499.98</v>
      </c>
    </row>
    <row r="98" spans="1:4" x14ac:dyDescent="0.25">
      <c r="A98" s="19" t="s">
        <v>39</v>
      </c>
      <c r="B98" s="18">
        <v>9</v>
      </c>
      <c r="C98" s="18">
        <v>1549.91</v>
      </c>
      <c r="D98" s="18">
        <v>349.98</v>
      </c>
    </row>
    <row r="99" spans="1:4" x14ac:dyDescent="0.25">
      <c r="A99" s="19" t="s">
        <v>30</v>
      </c>
      <c r="B99" s="18">
        <v>8</v>
      </c>
      <c r="C99" s="18">
        <v>2099.92</v>
      </c>
      <c r="D99" s="18">
        <v>799.97</v>
      </c>
    </row>
    <row r="100" spans="1:4" x14ac:dyDescent="0.25">
      <c r="A100" s="19" t="s">
        <v>227</v>
      </c>
      <c r="B100" s="18">
        <v>6</v>
      </c>
      <c r="C100" s="18">
        <v>1099.94</v>
      </c>
      <c r="D100" s="18">
        <v>349.98</v>
      </c>
    </row>
    <row r="101" spans="1:4" x14ac:dyDescent="0.25">
      <c r="A101" s="19" t="s">
        <v>113</v>
      </c>
      <c r="B101" s="18">
        <v>5</v>
      </c>
      <c r="C101" s="18">
        <v>749.95</v>
      </c>
      <c r="D101" s="18">
        <v>299.98</v>
      </c>
    </row>
    <row r="102" spans="1:4" x14ac:dyDescent="0.25">
      <c r="A102" s="19" t="s">
        <v>130</v>
      </c>
      <c r="B102" s="18">
        <v>2</v>
      </c>
      <c r="C102" s="18">
        <v>299.98</v>
      </c>
      <c r="D102" s="18">
        <v>149.99</v>
      </c>
    </row>
    <row r="103" spans="1:4" x14ac:dyDescent="0.25">
      <c r="A103" s="19" t="s">
        <v>186</v>
      </c>
      <c r="B103" s="18">
        <v>1</v>
      </c>
      <c r="C103" s="18">
        <v>149.99</v>
      </c>
      <c r="D103" s="18">
        <v>149.99</v>
      </c>
    </row>
    <row r="104" spans="1:4" x14ac:dyDescent="0.25">
      <c r="A104" s="19" t="s">
        <v>90</v>
      </c>
      <c r="B104" s="18">
        <v>2</v>
      </c>
      <c r="C104" s="18">
        <v>299.98</v>
      </c>
      <c r="D104" s="18">
        <v>149.99</v>
      </c>
    </row>
    <row r="105" spans="1:4" x14ac:dyDescent="0.25">
      <c r="A105" s="19" t="s">
        <v>87</v>
      </c>
      <c r="B105" s="18">
        <v>17</v>
      </c>
      <c r="C105" s="18">
        <v>4499.83</v>
      </c>
      <c r="D105" s="18">
        <v>1349.95</v>
      </c>
    </row>
    <row r="106" spans="1:4" x14ac:dyDescent="0.25">
      <c r="A106" s="19" t="s">
        <v>43</v>
      </c>
      <c r="B106" s="18">
        <v>21</v>
      </c>
      <c r="C106" s="18">
        <v>4499.7900000000009</v>
      </c>
      <c r="D106" s="18">
        <v>1499.93</v>
      </c>
    </row>
    <row r="107" spans="1:4" x14ac:dyDescent="0.25">
      <c r="A107" s="19" t="s">
        <v>109</v>
      </c>
      <c r="B107" s="18">
        <v>10</v>
      </c>
      <c r="C107" s="18">
        <v>1749.9</v>
      </c>
      <c r="D107" s="18">
        <v>349.98</v>
      </c>
    </row>
    <row r="108" spans="1:4" x14ac:dyDescent="0.25">
      <c r="A108" s="19" t="s">
        <v>100</v>
      </c>
      <c r="B108" s="18">
        <v>5</v>
      </c>
      <c r="C108" s="18">
        <v>1499.95</v>
      </c>
      <c r="D108" s="18">
        <v>599.98</v>
      </c>
    </row>
    <row r="109" spans="1:4" x14ac:dyDescent="0.25">
      <c r="A109" s="19" t="s">
        <v>16</v>
      </c>
      <c r="B109" s="18">
        <v>3</v>
      </c>
      <c r="C109" s="18">
        <v>899.97</v>
      </c>
      <c r="D109" s="18">
        <v>299.99</v>
      </c>
    </row>
    <row r="110" spans="1:4" x14ac:dyDescent="0.25">
      <c r="A110" s="19" t="s">
        <v>73</v>
      </c>
      <c r="B110" s="18">
        <v>6</v>
      </c>
      <c r="C110" s="18">
        <v>899.94</v>
      </c>
      <c r="D110" s="18">
        <v>299.98</v>
      </c>
    </row>
    <row r="111" spans="1:4" x14ac:dyDescent="0.25">
      <c r="A111" s="19" t="s">
        <v>260</v>
      </c>
      <c r="B111" s="18">
        <v>3</v>
      </c>
      <c r="C111" s="18">
        <v>499.97</v>
      </c>
      <c r="D111" s="18">
        <v>349.98</v>
      </c>
    </row>
    <row r="112" spans="1:4" x14ac:dyDescent="0.25">
      <c r="A112" s="19" t="s">
        <v>60</v>
      </c>
      <c r="B112" s="18">
        <v>3</v>
      </c>
      <c r="C112" s="18">
        <v>449.97</v>
      </c>
      <c r="D112" s="18">
        <v>149.99</v>
      </c>
    </row>
    <row r="113" spans="1:4" x14ac:dyDescent="0.25">
      <c r="A113" s="19" t="s">
        <v>247</v>
      </c>
      <c r="B113" s="18">
        <v>3</v>
      </c>
      <c r="C113" s="18">
        <v>449.97</v>
      </c>
      <c r="D113" s="18">
        <v>149.99</v>
      </c>
    </row>
    <row r="114" spans="1:4" x14ac:dyDescent="0.25">
      <c r="A114" s="19" t="s">
        <v>235</v>
      </c>
      <c r="B114" s="18">
        <v>8</v>
      </c>
      <c r="C114" s="18">
        <v>1649.92</v>
      </c>
      <c r="D114" s="18">
        <v>449.98</v>
      </c>
    </row>
    <row r="115" spans="1:4" x14ac:dyDescent="0.25">
      <c r="A115" s="19" t="s">
        <v>155</v>
      </c>
      <c r="B115" s="18">
        <v>9</v>
      </c>
      <c r="C115" s="18">
        <v>1549.91</v>
      </c>
      <c r="D115" s="18">
        <v>349.98</v>
      </c>
    </row>
    <row r="116" spans="1:4" x14ac:dyDescent="0.25">
      <c r="A116" s="19" t="s">
        <v>139</v>
      </c>
      <c r="B116" s="18">
        <v>7</v>
      </c>
      <c r="C116" s="18">
        <v>1599.93</v>
      </c>
      <c r="D116" s="18">
        <v>699.97</v>
      </c>
    </row>
    <row r="117" spans="1:4" x14ac:dyDescent="0.25">
      <c r="A117" s="19" t="s">
        <v>69</v>
      </c>
      <c r="B117" s="18">
        <v>6</v>
      </c>
      <c r="C117" s="18">
        <v>1649.94</v>
      </c>
      <c r="D117" s="18">
        <v>449.98</v>
      </c>
    </row>
    <row r="118" spans="1:4" x14ac:dyDescent="0.25">
      <c r="A118" s="19" t="s">
        <v>94</v>
      </c>
      <c r="B118" s="18">
        <v>10</v>
      </c>
      <c r="C118" s="18">
        <v>2549.9000000000005</v>
      </c>
      <c r="D118" s="18">
        <v>749.97</v>
      </c>
    </row>
    <row r="119" spans="1:4" x14ac:dyDescent="0.25">
      <c r="A119" s="17" t="s">
        <v>400</v>
      </c>
      <c r="B119" s="18">
        <v>753</v>
      </c>
      <c r="C119" s="24">
        <v>229192.47000000006</v>
      </c>
      <c r="D119" s="18">
        <v>74167.500000000029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67F10-C669-43FF-A2F2-FA8FA0B42BC6}">
  <dimension ref="A1:S251"/>
  <sheetViews>
    <sheetView topLeftCell="E19" workbookViewId="0">
      <selection activeCell="S2" sqref="S2"/>
    </sheetView>
  </sheetViews>
  <sheetFormatPr defaultColWidth="8.85546875" defaultRowHeight="15" x14ac:dyDescent="0.25"/>
  <cols>
    <col min="1" max="1" width="16.42578125" customWidth="1"/>
    <col min="2" max="2" width="10.42578125" style="6" bestFit="1" customWidth="1"/>
    <col min="3" max="3" width="15" customWidth="1"/>
    <col min="4" max="4" width="18.28515625" style="9" customWidth="1"/>
    <col min="5" max="5" width="13" customWidth="1"/>
    <col min="6" max="6" width="16.28515625" customWidth="1"/>
    <col min="7" max="7" width="11.28515625" customWidth="1"/>
    <col min="8" max="8" width="10.85546875" style="15" customWidth="1"/>
    <col min="9" max="9" width="12.28515625" style="12" customWidth="1"/>
    <col min="10" max="10" width="18.7109375" customWidth="1"/>
    <col min="11" max="11" width="9.42578125" customWidth="1"/>
    <col min="12" max="12" width="21" customWidth="1"/>
    <col min="13" max="13" width="18" customWidth="1"/>
    <col min="14" max="14" width="15.42578125" style="12" customWidth="1"/>
    <col min="15" max="15" width="19.28515625" style="12" customWidth="1"/>
    <col min="16" max="16" width="10.85546875" bestFit="1" customWidth="1"/>
    <col min="17" max="17" width="14.140625" customWidth="1"/>
    <col min="18" max="18" width="36.85546875" bestFit="1" customWidth="1"/>
    <col min="19" max="19" width="24.5703125" bestFit="1" customWidth="1"/>
  </cols>
  <sheetData>
    <row r="1" spans="1:19" x14ac:dyDescent="0.25">
      <c r="A1" s="1" t="s">
        <v>0</v>
      </c>
      <c r="B1" s="4" t="s">
        <v>1</v>
      </c>
      <c r="C1" s="1" t="s">
        <v>2</v>
      </c>
      <c r="D1" s="7" t="s">
        <v>3</v>
      </c>
      <c r="E1" s="1" t="s">
        <v>4</v>
      </c>
      <c r="F1" s="1" t="s">
        <v>5</v>
      </c>
      <c r="G1" s="1" t="s">
        <v>6</v>
      </c>
      <c r="H1" s="13" t="s">
        <v>7</v>
      </c>
      <c r="I1" s="10" t="s">
        <v>8</v>
      </c>
      <c r="J1" s="1" t="s">
        <v>9</v>
      </c>
      <c r="K1" s="1" t="s">
        <v>10</v>
      </c>
      <c r="L1" s="1" t="s">
        <v>11</v>
      </c>
      <c r="M1" s="1" t="s">
        <v>12</v>
      </c>
      <c r="N1" s="10" t="s">
        <v>13</v>
      </c>
      <c r="O1" s="20" t="s">
        <v>407</v>
      </c>
      <c r="P1" s="21" t="s">
        <v>403</v>
      </c>
      <c r="Q1" s="21" t="s">
        <v>404</v>
      </c>
      <c r="R1" s="21" t="s">
        <v>405</v>
      </c>
      <c r="S1" s="21" t="s">
        <v>406</v>
      </c>
    </row>
    <row r="2" spans="1:19" x14ac:dyDescent="0.25">
      <c r="A2" s="2" t="s">
        <v>14</v>
      </c>
      <c r="B2" s="5">
        <v>45393</v>
      </c>
      <c r="C2" s="2" t="s">
        <v>15</v>
      </c>
      <c r="D2" s="8" t="s">
        <v>16</v>
      </c>
      <c r="E2" s="2" t="s">
        <v>17</v>
      </c>
      <c r="F2" s="2" t="s">
        <v>18</v>
      </c>
      <c r="G2" s="2" t="s">
        <v>19</v>
      </c>
      <c r="H2" s="14">
        <v>3</v>
      </c>
      <c r="I2" s="11">
        <v>249.99</v>
      </c>
      <c r="J2" s="2" t="s">
        <v>20</v>
      </c>
      <c r="K2" s="2" t="s">
        <v>21</v>
      </c>
      <c r="L2" s="2" t="s">
        <v>22</v>
      </c>
      <c r="M2" s="3">
        <v>44425</v>
      </c>
      <c r="N2" s="11">
        <v>749.97</v>
      </c>
      <c r="O2" s="8" t="s">
        <v>16</v>
      </c>
      <c r="P2" t="str">
        <f>VLOOKUP(O2,D1:N251,4,0)</f>
        <v>Electronics</v>
      </c>
      <c r="Q2" t="str">
        <f>INDEX(D1:N251,MATCH(O2,D2:$D$251,0),11)</f>
        <v>Total_Amount</v>
      </c>
      <c r="R2" t="str">
        <f>IF(L2=$L$3,$L$3,"your customer is not "&amp;$L$3&amp;" customer")</f>
        <v>your customer is not Premium customer</v>
      </c>
      <c r="S2" t="str" cm="1">
        <f t="array" ref="S2">_xlfn.IFS(L2=$L$2,"he is an "&amp;$L$2&amp;"customer",L2=$L$3,"he is an"&amp;$L$3&amp;"customer",L2=$L$4,"he is an" &amp;$L$4&amp;"customer")</f>
        <v>he is an Basiccustomer</v>
      </c>
    </row>
    <row r="3" spans="1:19" x14ac:dyDescent="0.25">
      <c r="A3" s="2" t="s">
        <v>23</v>
      </c>
      <c r="B3" s="5">
        <v>45396</v>
      </c>
      <c r="C3" s="2" t="s">
        <v>24</v>
      </c>
      <c r="D3" s="8" t="s">
        <v>25</v>
      </c>
      <c r="E3" s="2" t="s">
        <v>17</v>
      </c>
      <c r="F3" s="2" t="s">
        <v>18</v>
      </c>
      <c r="G3" s="2" t="s">
        <v>19</v>
      </c>
      <c r="H3" s="14">
        <v>3</v>
      </c>
      <c r="I3" s="11">
        <v>249.99</v>
      </c>
      <c r="J3" s="2" t="s">
        <v>26</v>
      </c>
      <c r="K3" s="2" t="s">
        <v>21</v>
      </c>
      <c r="L3" s="2" t="s">
        <v>27</v>
      </c>
      <c r="M3" s="3">
        <v>44575</v>
      </c>
      <c r="N3" s="11">
        <v>749.97</v>
      </c>
      <c r="O3" s="8" t="s">
        <v>25</v>
      </c>
      <c r="P3" t="str">
        <f t="shared" ref="P3:P66" si="0">VLOOKUP(O3,D2:N252,4,0)</f>
        <v>Electronics</v>
      </c>
      <c r="Q3">
        <f>INDEX(D2:N252,MATCH(O3,D3:$D$251,0),11)</f>
        <v>749.97</v>
      </c>
      <c r="R3" t="str">
        <f t="shared" ref="R3:R66" si="1">IF(L3=$L$3,$L$3,"your customer is not "&amp;$L$3&amp;" customer")</f>
        <v>Premium</v>
      </c>
      <c r="S3" t="str" cm="1">
        <f t="array" ref="S3">_xlfn.IFS(L3=$L$2,"he is an "&amp;$L$2&amp;"customer",L3=$L$3,"he is an"&amp;$L$3&amp;"customer",L3=$L$4,"he is an" &amp;$L$4&amp;"customer")</f>
        <v>he is anPremiumcustomer</v>
      </c>
    </row>
    <row r="4" spans="1:19" x14ac:dyDescent="0.25">
      <c r="A4" s="2" t="s">
        <v>28</v>
      </c>
      <c r="B4" s="5">
        <v>45399</v>
      </c>
      <c r="C4" s="2" t="s">
        <v>29</v>
      </c>
      <c r="D4" s="8" t="s">
        <v>30</v>
      </c>
      <c r="E4" s="2" t="s">
        <v>31</v>
      </c>
      <c r="F4" s="2" t="s">
        <v>32</v>
      </c>
      <c r="G4" s="2" t="s">
        <v>33</v>
      </c>
      <c r="H4" s="14">
        <v>3</v>
      </c>
      <c r="I4" s="11">
        <v>59.99</v>
      </c>
      <c r="J4" s="2" t="s">
        <v>34</v>
      </c>
      <c r="K4" s="2" t="s">
        <v>35</v>
      </c>
      <c r="L4" s="2" t="s">
        <v>36</v>
      </c>
      <c r="M4" s="3">
        <v>45262</v>
      </c>
      <c r="N4" s="11">
        <v>179.97</v>
      </c>
      <c r="O4" s="8" t="s">
        <v>30</v>
      </c>
      <c r="P4" t="str">
        <f t="shared" si="0"/>
        <v>Appliances</v>
      </c>
      <c r="Q4">
        <f>INDEX(D3:N253,MATCH(O4,D4:$D$251,0),11)</f>
        <v>749.97</v>
      </c>
      <c r="R4" t="str">
        <f t="shared" si="1"/>
        <v>your customer is not Premium customer</v>
      </c>
      <c r="S4" t="str" cm="1">
        <f t="array" ref="S4">_xlfn.IFS(L4=$L$2,"he is an "&amp;$L$2&amp;"customer",L4=$L$3,"he is an"&amp;$L$3&amp;"customer",L4=$L$4,"he is an" &amp;$L$4&amp;"customer")</f>
        <v>he is anStandardcustomer</v>
      </c>
    </row>
    <row r="5" spans="1:19" x14ac:dyDescent="0.25">
      <c r="A5" s="2" t="s">
        <v>37</v>
      </c>
      <c r="B5" s="5">
        <v>45400</v>
      </c>
      <c r="C5" s="2" t="s">
        <v>38</v>
      </c>
      <c r="D5" s="8" t="s">
        <v>39</v>
      </c>
      <c r="E5" s="2" t="s">
        <v>31</v>
      </c>
      <c r="F5" s="2" t="s">
        <v>32</v>
      </c>
      <c r="G5" s="2" t="s">
        <v>33</v>
      </c>
      <c r="H5" s="14">
        <v>3</v>
      </c>
      <c r="I5" s="11">
        <v>59.99</v>
      </c>
      <c r="J5" s="2" t="s">
        <v>20</v>
      </c>
      <c r="K5" s="2" t="s">
        <v>40</v>
      </c>
      <c r="L5" s="2" t="s">
        <v>27</v>
      </c>
      <c r="M5" s="3">
        <v>45114</v>
      </c>
      <c r="N5" s="11">
        <v>179.97</v>
      </c>
      <c r="O5" s="8" t="s">
        <v>39</v>
      </c>
      <c r="P5" t="str">
        <f t="shared" si="0"/>
        <v>Appliances</v>
      </c>
      <c r="Q5">
        <f>INDEX(D4:N254,MATCH(O5,D5:$D$251,0),11)</f>
        <v>179.97</v>
      </c>
      <c r="R5" t="str">
        <f t="shared" si="1"/>
        <v>Premium</v>
      </c>
      <c r="S5" t="str" cm="1">
        <f t="array" ref="S5">_xlfn.IFS(L5=$L$2,"he is an "&amp;$L$2&amp;"customer",L5=$L$3,"he is an"&amp;$L$3&amp;"customer",L5=$L$4,"he is an" &amp;$L$4&amp;"customer")</f>
        <v>he is anPremiumcustomer</v>
      </c>
    </row>
    <row r="6" spans="1:19" x14ac:dyDescent="0.25">
      <c r="A6" s="2" t="s">
        <v>41</v>
      </c>
      <c r="B6" s="5">
        <v>45400</v>
      </c>
      <c r="C6" s="2" t="s">
        <v>42</v>
      </c>
      <c r="D6" s="8" t="s">
        <v>43</v>
      </c>
      <c r="E6" s="2" t="s">
        <v>44</v>
      </c>
      <c r="F6" s="2" t="s">
        <v>45</v>
      </c>
      <c r="G6" s="2" t="s">
        <v>46</v>
      </c>
      <c r="H6" s="14">
        <v>5</v>
      </c>
      <c r="I6" s="11">
        <v>149.99</v>
      </c>
      <c r="J6" s="2" t="s">
        <v>26</v>
      </c>
      <c r="K6" s="2" t="s">
        <v>40</v>
      </c>
      <c r="L6" s="2" t="s">
        <v>27</v>
      </c>
      <c r="M6" s="3">
        <v>45295</v>
      </c>
      <c r="N6" s="11">
        <v>749.95</v>
      </c>
      <c r="O6" s="8" t="s">
        <v>43</v>
      </c>
      <c r="P6" t="str">
        <f t="shared" si="0"/>
        <v>Furniture</v>
      </c>
      <c r="Q6">
        <f>INDEX(D5:N255,MATCH(O6,D6:$D$251,0),11)</f>
        <v>179.97</v>
      </c>
      <c r="R6" t="str">
        <f t="shared" si="1"/>
        <v>Premium</v>
      </c>
      <c r="S6" t="str" cm="1">
        <f t="array" ref="S6">_xlfn.IFS(L6=$L$2,"he is an "&amp;$L$2&amp;"customer",L6=$L$3,"he is an"&amp;$L$3&amp;"customer",L6=$L$4,"he is an" &amp;$L$4&amp;"customer")</f>
        <v>he is anPremiumcustomer</v>
      </c>
    </row>
    <row r="7" spans="1:19" x14ac:dyDescent="0.25">
      <c r="A7" s="2" t="s">
        <v>47</v>
      </c>
      <c r="B7" s="5">
        <v>45403</v>
      </c>
      <c r="C7" s="2" t="s">
        <v>48</v>
      </c>
      <c r="D7" s="8" t="s">
        <v>49</v>
      </c>
      <c r="E7" s="2" t="s">
        <v>31</v>
      </c>
      <c r="F7" s="2" t="s">
        <v>32</v>
      </c>
      <c r="G7" s="2" t="s">
        <v>33</v>
      </c>
      <c r="H7" s="14">
        <v>2</v>
      </c>
      <c r="I7" s="11">
        <v>59.99</v>
      </c>
      <c r="J7" s="2" t="s">
        <v>20</v>
      </c>
      <c r="K7" s="2" t="s">
        <v>50</v>
      </c>
      <c r="L7" s="2" t="s">
        <v>36</v>
      </c>
      <c r="M7" s="3">
        <v>44746</v>
      </c>
      <c r="N7" s="11">
        <v>119.98</v>
      </c>
      <c r="O7" s="8" t="s">
        <v>49</v>
      </c>
      <c r="P7" t="str">
        <f t="shared" si="0"/>
        <v>Appliances</v>
      </c>
      <c r="Q7">
        <f>INDEX(D6:N256,MATCH(O7,D7:$D$251,0),11)</f>
        <v>749.95</v>
      </c>
      <c r="R7" t="str">
        <f t="shared" si="1"/>
        <v>your customer is not Premium customer</v>
      </c>
      <c r="S7" t="str" cm="1">
        <f t="array" ref="S7">_xlfn.IFS(L7=$L$2,"he is an "&amp;$L$2&amp;"customer",L7=$L$3,"he is an"&amp;$L$3&amp;"customer",L7=$L$4,"he is an" &amp;$L$4&amp;"customer")</f>
        <v>he is anStandardcustomer</v>
      </c>
    </row>
    <row r="8" spans="1:19" x14ac:dyDescent="0.25">
      <c r="A8" s="2" t="s">
        <v>51</v>
      </c>
      <c r="B8" s="5">
        <v>45403</v>
      </c>
      <c r="C8" s="2" t="s">
        <v>48</v>
      </c>
      <c r="D8" s="8" t="s">
        <v>49</v>
      </c>
      <c r="E8" s="2" t="s">
        <v>52</v>
      </c>
      <c r="F8" s="2" t="s">
        <v>53</v>
      </c>
      <c r="G8" s="2" t="s">
        <v>19</v>
      </c>
      <c r="H8" s="14">
        <v>5</v>
      </c>
      <c r="I8" s="11">
        <v>149.99</v>
      </c>
      <c r="J8" s="2" t="s">
        <v>26</v>
      </c>
      <c r="K8" s="2" t="s">
        <v>21</v>
      </c>
      <c r="L8" s="2" t="s">
        <v>36</v>
      </c>
      <c r="M8" s="3">
        <v>44418</v>
      </c>
      <c r="N8" s="11">
        <v>749.95</v>
      </c>
      <c r="O8" s="8" t="s">
        <v>49</v>
      </c>
      <c r="P8" t="str">
        <f t="shared" si="0"/>
        <v>Appliances</v>
      </c>
      <c r="Q8">
        <f>INDEX(D7:N257,MATCH(O8,D8:$D$251,0),11)</f>
        <v>119.98</v>
      </c>
      <c r="R8" t="str">
        <f t="shared" si="1"/>
        <v>your customer is not Premium customer</v>
      </c>
      <c r="S8" t="str" cm="1">
        <f t="array" ref="S8">_xlfn.IFS(L8=$L$2,"he is an "&amp;$L$2&amp;"customer",L8=$L$3,"he is an"&amp;$L$3&amp;"customer",L8=$L$4,"he is an" &amp;$L$4&amp;"customer")</f>
        <v>he is anStandardcustomer</v>
      </c>
    </row>
    <row r="9" spans="1:19" x14ac:dyDescent="0.25">
      <c r="A9" s="2" t="s">
        <v>54</v>
      </c>
      <c r="B9" s="5">
        <v>45403</v>
      </c>
      <c r="C9" s="2" t="s">
        <v>55</v>
      </c>
      <c r="D9" s="8" t="s">
        <v>56</v>
      </c>
      <c r="E9" s="2" t="s">
        <v>31</v>
      </c>
      <c r="F9" s="2" t="s">
        <v>32</v>
      </c>
      <c r="G9" s="2" t="s">
        <v>33</v>
      </c>
      <c r="H9" s="14">
        <v>3</v>
      </c>
      <c r="I9" s="11">
        <v>59.99</v>
      </c>
      <c r="J9" s="2" t="s">
        <v>57</v>
      </c>
      <c r="K9" s="2" t="s">
        <v>35</v>
      </c>
      <c r="L9" s="2" t="s">
        <v>22</v>
      </c>
      <c r="M9" s="3">
        <v>45007</v>
      </c>
      <c r="N9" s="11">
        <v>179.97</v>
      </c>
      <c r="O9" s="8" t="s">
        <v>56</v>
      </c>
      <c r="P9" t="str">
        <f t="shared" si="0"/>
        <v>Appliances</v>
      </c>
      <c r="Q9">
        <f>INDEX(D8:N258,MATCH(O9,D9:$D$251,0),11)</f>
        <v>749.95</v>
      </c>
      <c r="R9" t="str">
        <f t="shared" si="1"/>
        <v>your customer is not Premium customer</v>
      </c>
      <c r="S9" t="str" cm="1">
        <f t="array" ref="S9">_xlfn.IFS(L9=$L$2,"he is an "&amp;$L$2&amp;"customer",L9=$L$3,"he is an"&amp;$L$3&amp;"customer",L9=$L$4,"he is an" &amp;$L$4&amp;"customer")</f>
        <v>he is an Basiccustomer</v>
      </c>
    </row>
    <row r="10" spans="1:19" x14ac:dyDescent="0.25">
      <c r="A10" s="2" t="s">
        <v>58</v>
      </c>
      <c r="B10" s="5">
        <v>45405</v>
      </c>
      <c r="C10" s="2" t="s">
        <v>59</v>
      </c>
      <c r="D10" s="8" t="s">
        <v>60</v>
      </c>
      <c r="E10" s="2" t="s">
        <v>61</v>
      </c>
      <c r="F10" s="2" t="s">
        <v>62</v>
      </c>
      <c r="G10" s="2" t="s">
        <v>19</v>
      </c>
      <c r="H10" s="14">
        <v>3</v>
      </c>
      <c r="I10" s="11">
        <v>899.99</v>
      </c>
      <c r="J10" s="2" t="s">
        <v>34</v>
      </c>
      <c r="K10" s="2" t="s">
        <v>63</v>
      </c>
      <c r="L10" s="2" t="s">
        <v>36</v>
      </c>
      <c r="M10" s="3">
        <v>45299</v>
      </c>
      <c r="N10" s="11">
        <v>2699.97</v>
      </c>
      <c r="O10" s="8" t="s">
        <v>60</v>
      </c>
      <c r="P10" t="str">
        <f t="shared" si="0"/>
        <v>Electronics</v>
      </c>
      <c r="Q10">
        <f>INDEX(D9:N259,MATCH(O10,D10:$D$251,0),11)</f>
        <v>179.97</v>
      </c>
      <c r="R10" t="str">
        <f t="shared" si="1"/>
        <v>your customer is not Premium customer</v>
      </c>
      <c r="S10" t="str" cm="1">
        <f t="array" ref="S10">_xlfn.IFS(L10=$L$2,"he is an "&amp;$L$2&amp;"customer",L10=$L$3,"he is an"&amp;$L$3&amp;"customer",L10=$L$4,"he is an" &amp;$L$4&amp;"customer")</f>
        <v>he is anStandardcustomer</v>
      </c>
    </row>
    <row r="11" spans="1:19" x14ac:dyDescent="0.25">
      <c r="A11" s="2" t="s">
        <v>64</v>
      </c>
      <c r="B11" s="5">
        <v>45408</v>
      </c>
      <c r="C11" s="2" t="s">
        <v>65</v>
      </c>
      <c r="D11" s="8" t="s">
        <v>66</v>
      </c>
      <c r="E11" s="2" t="s">
        <v>31</v>
      </c>
      <c r="F11" s="2" t="s">
        <v>32</v>
      </c>
      <c r="G11" s="2" t="s">
        <v>33</v>
      </c>
      <c r="H11" s="14">
        <v>3</v>
      </c>
      <c r="I11" s="11">
        <v>59.99</v>
      </c>
      <c r="J11" s="2" t="s">
        <v>20</v>
      </c>
      <c r="K11" s="2" t="s">
        <v>50</v>
      </c>
      <c r="L11" s="2" t="s">
        <v>27</v>
      </c>
      <c r="M11" s="3">
        <v>45207</v>
      </c>
      <c r="N11" s="11">
        <v>179.97</v>
      </c>
      <c r="O11" s="8" t="s">
        <v>66</v>
      </c>
      <c r="P11" t="str">
        <f t="shared" si="0"/>
        <v>Appliances</v>
      </c>
      <c r="Q11">
        <f>INDEX(D10:N260,MATCH(O11,D11:$D$251,0),11)</f>
        <v>2699.97</v>
      </c>
      <c r="R11" t="str">
        <f t="shared" si="1"/>
        <v>Premium</v>
      </c>
      <c r="S11" t="str" cm="1">
        <f t="array" ref="S11">_xlfn.IFS(L11=$L$2,"he is an "&amp;$L$2&amp;"customer",L11=$L$3,"he is an"&amp;$L$3&amp;"customer",L11=$L$4,"he is an" &amp;$L$4&amp;"customer")</f>
        <v>he is anPremiumcustomer</v>
      </c>
    </row>
    <row r="12" spans="1:19" x14ac:dyDescent="0.25">
      <c r="A12" s="2" t="s">
        <v>67</v>
      </c>
      <c r="B12" s="5">
        <v>45408</v>
      </c>
      <c r="C12" s="2" t="s">
        <v>68</v>
      </c>
      <c r="D12" s="8" t="s">
        <v>69</v>
      </c>
      <c r="E12" s="2" t="s">
        <v>44</v>
      </c>
      <c r="F12" s="2" t="s">
        <v>45</v>
      </c>
      <c r="G12" s="2" t="s">
        <v>46</v>
      </c>
      <c r="H12" s="14">
        <v>1</v>
      </c>
      <c r="I12" s="11">
        <v>149.99</v>
      </c>
      <c r="J12" s="2" t="s">
        <v>26</v>
      </c>
      <c r="K12" s="2" t="s">
        <v>50</v>
      </c>
      <c r="L12" s="2" t="s">
        <v>36</v>
      </c>
      <c r="M12" s="3">
        <v>45103</v>
      </c>
      <c r="N12" s="11">
        <v>149.99</v>
      </c>
      <c r="O12" s="8" t="s">
        <v>69</v>
      </c>
      <c r="P12" t="str">
        <f t="shared" si="0"/>
        <v>Furniture</v>
      </c>
      <c r="Q12">
        <f>INDEX(D11:N261,MATCH(O12,D12:$D$251,0),11)</f>
        <v>179.97</v>
      </c>
      <c r="R12" t="str">
        <f t="shared" si="1"/>
        <v>your customer is not Premium customer</v>
      </c>
      <c r="S12" t="str" cm="1">
        <f t="array" ref="S12">_xlfn.IFS(L12=$L$2,"he is an "&amp;$L$2&amp;"customer",L12=$L$3,"he is an"&amp;$L$3&amp;"customer",L12=$L$4,"he is an" &amp;$L$4&amp;"customer")</f>
        <v>he is anStandardcustomer</v>
      </c>
    </row>
    <row r="13" spans="1:19" x14ac:dyDescent="0.25">
      <c r="A13" s="2" t="s">
        <v>70</v>
      </c>
      <c r="B13" s="5">
        <v>45408</v>
      </c>
      <c r="C13" s="2" t="s">
        <v>38</v>
      </c>
      <c r="D13" s="8" t="s">
        <v>39</v>
      </c>
      <c r="E13" s="2" t="s">
        <v>44</v>
      </c>
      <c r="F13" s="2" t="s">
        <v>45</v>
      </c>
      <c r="G13" s="2" t="s">
        <v>46</v>
      </c>
      <c r="H13" s="14">
        <v>5</v>
      </c>
      <c r="I13" s="11">
        <v>149.99</v>
      </c>
      <c r="J13" s="2" t="s">
        <v>57</v>
      </c>
      <c r="K13" s="2" t="s">
        <v>40</v>
      </c>
      <c r="L13" s="2" t="s">
        <v>22</v>
      </c>
      <c r="M13" s="3">
        <v>44830</v>
      </c>
      <c r="N13" s="11">
        <v>749.95</v>
      </c>
      <c r="O13" s="8" t="s">
        <v>39</v>
      </c>
      <c r="P13" t="str">
        <f t="shared" si="0"/>
        <v>Furniture</v>
      </c>
      <c r="Q13">
        <f>INDEX(D12:N262,MATCH(O13,D13:$D$251,0),11)</f>
        <v>149.99</v>
      </c>
      <c r="R13" t="str">
        <f t="shared" si="1"/>
        <v>your customer is not Premium customer</v>
      </c>
      <c r="S13" t="str" cm="1">
        <f t="array" ref="S13">_xlfn.IFS(L13=$L$2,"he is an "&amp;$L$2&amp;"customer",L13=$L$3,"he is an"&amp;$L$3&amp;"customer",L13=$L$4,"he is an" &amp;$L$4&amp;"customer")</f>
        <v>he is an Basiccustomer</v>
      </c>
    </row>
    <row r="14" spans="1:19" x14ac:dyDescent="0.25">
      <c r="A14" s="2" t="s">
        <v>71</v>
      </c>
      <c r="B14" s="5">
        <v>45408</v>
      </c>
      <c r="C14" s="2" t="s">
        <v>72</v>
      </c>
      <c r="D14" s="8" t="s">
        <v>73</v>
      </c>
      <c r="E14" s="2" t="s">
        <v>44</v>
      </c>
      <c r="F14" s="2" t="s">
        <v>45</v>
      </c>
      <c r="G14" s="2" t="s">
        <v>46</v>
      </c>
      <c r="H14" s="14">
        <v>3</v>
      </c>
      <c r="I14" s="11">
        <v>149.99</v>
      </c>
      <c r="J14" s="2" t="s">
        <v>20</v>
      </c>
      <c r="K14" s="2" t="s">
        <v>40</v>
      </c>
      <c r="L14" s="2" t="s">
        <v>27</v>
      </c>
      <c r="M14" s="3">
        <v>44806</v>
      </c>
      <c r="N14" s="11">
        <v>449.97</v>
      </c>
      <c r="O14" s="8" t="s">
        <v>73</v>
      </c>
      <c r="P14" t="str">
        <f t="shared" si="0"/>
        <v>Furniture</v>
      </c>
      <c r="Q14">
        <f>INDEX(D13:N263,MATCH(O14,D14:$D$251,0),11)</f>
        <v>749.95</v>
      </c>
      <c r="R14" t="str">
        <f t="shared" si="1"/>
        <v>Premium</v>
      </c>
      <c r="S14" t="str" cm="1">
        <f t="array" ref="S14">_xlfn.IFS(L14=$L$2,"he is an "&amp;$L$2&amp;"customer",L14=$L$3,"he is an"&amp;$L$3&amp;"customer",L14=$L$4,"he is an" &amp;$L$4&amp;"customer")</f>
        <v>he is anPremiumcustomer</v>
      </c>
    </row>
    <row r="15" spans="1:19" x14ac:dyDescent="0.25">
      <c r="A15" s="2" t="s">
        <v>74</v>
      </c>
      <c r="B15" s="5">
        <v>45409</v>
      </c>
      <c r="C15" s="2" t="s">
        <v>75</v>
      </c>
      <c r="D15" s="8" t="s">
        <v>76</v>
      </c>
      <c r="E15" s="2" t="s">
        <v>31</v>
      </c>
      <c r="F15" s="2" t="s">
        <v>32</v>
      </c>
      <c r="G15" s="2" t="s">
        <v>33</v>
      </c>
      <c r="H15" s="14">
        <v>3</v>
      </c>
      <c r="I15" s="11">
        <v>59.99</v>
      </c>
      <c r="J15" s="2" t="s">
        <v>26</v>
      </c>
      <c r="K15" s="2" t="s">
        <v>40</v>
      </c>
      <c r="L15" s="2" t="s">
        <v>36</v>
      </c>
      <c r="M15" s="3">
        <v>45351</v>
      </c>
      <c r="N15" s="11">
        <v>179.97</v>
      </c>
      <c r="O15" s="8" t="s">
        <v>76</v>
      </c>
      <c r="P15" t="str">
        <f t="shared" si="0"/>
        <v>Appliances</v>
      </c>
      <c r="Q15">
        <f>INDEX(D14:N264,MATCH(O15,D15:$D$251,0),11)</f>
        <v>449.97</v>
      </c>
      <c r="R15" t="str">
        <f t="shared" si="1"/>
        <v>your customer is not Premium customer</v>
      </c>
      <c r="S15" t="str" cm="1">
        <f t="array" ref="S15">_xlfn.IFS(L15=$L$2,"he is an "&amp;$L$2&amp;"customer",L15=$L$3,"he is an"&amp;$L$3&amp;"customer",L15=$L$4,"he is an" &amp;$L$4&amp;"customer")</f>
        <v>he is anStandardcustomer</v>
      </c>
    </row>
    <row r="16" spans="1:19" x14ac:dyDescent="0.25">
      <c r="A16" s="2" t="s">
        <v>77</v>
      </c>
      <c r="B16" s="5">
        <v>45409</v>
      </c>
      <c r="C16" s="2" t="s">
        <v>78</v>
      </c>
      <c r="D16" s="8" t="s">
        <v>79</v>
      </c>
      <c r="E16" s="2" t="s">
        <v>80</v>
      </c>
      <c r="F16" s="2" t="s">
        <v>81</v>
      </c>
      <c r="G16" s="2" t="s">
        <v>19</v>
      </c>
      <c r="H16" s="14">
        <v>3</v>
      </c>
      <c r="I16" s="11">
        <v>699.99</v>
      </c>
      <c r="J16" s="2" t="s">
        <v>26</v>
      </c>
      <c r="K16" s="2" t="s">
        <v>50</v>
      </c>
      <c r="L16" s="2" t="s">
        <v>22</v>
      </c>
      <c r="M16" s="3">
        <v>44577</v>
      </c>
      <c r="N16" s="11">
        <v>2099.9699999999998</v>
      </c>
      <c r="O16" s="8" t="s">
        <v>79</v>
      </c>
      <c r="P16" t="str">
        <f t="shared" si="0"/>
        <v>Electronics</v>
      </c>
      <c r="Q16">
        <f>INDEX(D15:N265,MATCH(O16,D16:$D$251,0),11)</f>
        <v>179.97</v>
      </c>
      <c r="R16" t="str">
        <f t="shared" si="1"/>
        <v>your customer is not Premium customer</v>
      </c>
      <c r="S16" t="str" cm="1">
        <f t="array" ref="S16">_xlfn.IFS(L16=$L$2,"he is an "&amp;$L$2&amp;"customer",L16=$L$3,"he is an"&amp;$L$3&amp;"customer",L16=$L$4,"he is an" &amp;$L$4&amp;"customer")</f>
        <v>he is an Basiccustomer</v>
      </c>
    </row>
    <row r="17" spans="1:19" x14ac:dyDescent="0.25">
      <c r="A17" s="2" t="s">
        <v>82</v>
      </c>
      <c r="B17" s="5">
        <v>45409</v>
      </c>
      <c r="C17" s="2" t="s">
        <v>83</v>
      </c>
      <c r="D17" s="8" t="s">
        <v>84</v>
      </c>
      <c r="E17" s="2" t="s">
        <v>61</v>
      </c>
      <c r="F17" s="2" t="s">
        <v>62</v>
      </c>
      <c r="G17" s="2" t="s">
        <v>19</v>
      </c>
      <c r="H17" s="14">
        <v>1</v>
      </c>
      <c r="I17" s="11">
        <v>899.99</v>
      </c>
      <c r="J17" s="2" t="s">
        <v>57</v>
      </c>
      <c r="K17" s="2" t="s">
        <v>40</v>
      </c>
      <c r="L17" s="2" t="s">
        <v>36</v>
      </c>
      <c r="M17" s="3">
        <v>44920</v>
      </c>
      <c r="N17" s="11">
        <v>899.99</v>
      </c>
      <c r="O17" s="8" t="s">
        <v>84</v>
      </c>
      <c r="P17" t="str">
        <f t="shared" si="0"/>
        <v>Electronics</v>
      </c>
      <c r="Q17">
        <f>INDEX(D16:N266,MATCH(O17,D17:$D$251,0),11)</f>
        <v>2099.9699999999998</v>
      </c>
      <c r="R17" t="str">
        <f t="shared" si="1"/>
        <v>your customer is not Premium customer</v>
      </c>
      <c r="S17" t="str" cm="1">
        <f t="array" ref="S17">_xlfn.IFS(L17=$L$2,"he is an "&amp;$L$2&amp;"customer",L17=$L$3,"he is an"&amp;$L$3&amp;"customer",L17=$L$4,"he is an" &amp;$L$4&amp;"customer")</f>
        <v>he is anStandardcustomer</v>
      </c>
    </row>
    <row r="18" spans="1:19" x14ac:dyDescent="0.25">
      <c r="A18" s="2" t="s">
        <v>85</v>
      </c>
      <c r="B18" s="5">
        <v>45410</v>
      </c>
      <c r="C18" s="2" t="s">
        <v>86</v>
      </c>
      <c r="D18" s="8" t="s">
        <v>87</v>
      </c>
      <c r="E18" s="2" t="s">
        <v>44</v>
      </c>
      <c r="F18" s="2" t="s">
        <v>45</v>
      </c>
      <c r="G18" s="2" t="s">
        <v>46</v>
      </c>
      <c r="H18" s="14">
        <v>4</v>
      </c>
      <c r="I18" s="11">
        <v>149.99</v>
      </c>
      <c r="J18" s="2" t="s">
        <v>57</v>
      </c>
      <c r="K18" s="2" t="s">
        <v>40</v>
      </c>
      <c r="L18" s="2" t="s">
        <v>27</v>
      </c>
      <c r="M18" s="3">
        <v>45374</v>
      </c>
      <c r="N18" s="11">
        <v>599.96</v>
      </c>
      <c r="O18" s="8" t="s">
        <v>87</v>
      </c>
      <c r="P18" t="str">
        <f t="shared" si="0"/>
        <v>Furniture</v>
      </c>
      <c r="Q18">
        <f>INDEX(D17:N267,MATCH(O18,D18:$D$251,0),11)</f>
        <v>899.99</v>
      </c>
      <c r="R18" t="str">
        <f t="shared" si="1"/>
        <v>Premium</v>
      </c>
      <c r="S18" t="str" cm="1">
        <f t="array" ref="S18">_xlfn.IFS(L18=$L$2,"he is an "&amp;$L$2&amp;"customer",L18=$L$3,"he is an"&amp;$L$3&amp;"customer",L18=$L$4,"he is an" &amp;$L$4&amp;"customer")</f>
        <v>he is anPremiumcustomer</v>
      </c>
    </row>
    <row r="19" spans="1:19" x14ac:dyDescent="0.25">
      <c r="A19" s="2" t="s">
        <v>88</v>
      </c>
      <c r="B19" s="5">
        <v>45410</v>
      </c>
      <c r="C19" s="2" t="s">
        <v>89</v>
      </c>
      <c r="D19" s="8" t="s">
        <v>90</v>
      </c>
      <c r="E19" s="2" t="s">
        <v>80</v>
      </c>
      <c r="F19" s="2" t="s">
        <v>81</v>
      </c>
      <c r="G19" s="2" t="s">
        <v>19</v>
      </c>
      <c r="H19" s="14">
        <v>2</v>
      </c>
      <c r="I19" s="11">
        <v>699.99</v>
      </c>
      <c r="J19" s="2" t="s">
        <v>20</v>
      </c>
      <c r="K19" s="2" t="s">
        <v>40</v>
      </c>
      <c r="L19" s="2" t="s">
        <v>22</v>
      </c>
      <c r="M19" s="3">
        <v>44781</v>
      </c>
      <c r="N19" s="11">
        <v>1399.98</v>
      </c>
      <c r="O19" s="8" t="s">
        <v>90</v>
      </c>
      <c r="P19" t="str">
        <f t="shared" si="0"/>
        <v>Electronics</v>
      </c>
      <c r="Q19">
        <f>INDEX(D18:N268,MATCH(O19,D19:$D$251,0),11)</f>
        <v>599.96</v>
      </c>
      <c r="R19" t="str">
        <f t="shared" si="1"/>
        <v>your customer is not Premium customer</v>
      </c>
      <c r="S19" t="str" cm="1">
        <f t="array" ref="S19">_xlfn.IFS(L19=$L$2,"he is an "&amp;$L$2&amp;"customer",L19=$L$3,"he is an"&amp;$L$3&amp;"customer",L19=$L$4,"he is an" &amp;$L$4&amp;"customer")</f>
        <v>he is an Basiccustomer</v>
      </c>
    </row>
    <row r="20" spans="1:19" x14ac:dyDescent="0.25">
      <c r="A20" s="2" t="s">
        <v>91</v>
      </c>
      <c r="B20" s="5">
        <v>45410</v>
      </c>
      <c r="C20" s="2" t="s">
        <v>86</v>
      </c>
      <c r="D20" s="8" t="s">
        <v>87</v>
      </c>
      <c r="E20" s="2" t="s">
        <v>61</v>
      </c>
      <c r="F20" s="2" t="s">
        <v>62</v>
      </c>
      <c r="G20" s="2" t="s">
        <v>19</v>
      </c>
      <c r="H20" s="14">
        <v>4</v>
      </c>
      <c r="I20" s="11">
        <v>899.99</v>
      </c>
      <c r="J20" s="2" t="s">
        <v>26</v>
      </c>
      <c r="K20" s="2" t="s">
        <v>50</v>
      </c>
      <c r="L20" s="2" t="s">
        <v>36</v>
      </c>
      <c r="M20" s="3">
        <v>45327</v>
      </c>
      <c r="N20" s="11">
        <v>3599.96</v>
      </c>
      <c r="O20" s="8" t="s">
        <v>87</v>
      </c>
      <c r="P20" t="str">
        <f t="shared" si="0"/>
        <v>Electronics</v>
      </c>
      <c r="Q20">
        <f>INDEX(D19:N269,MATCH(O20,D20:$D$251,0),11)</f>
        <v>1399.98</v>
      </c>
      <c r="R20" t="str">
        <f t="shared" si="1"/>
        <v>your customer is not Premium customer</v>
      </c>
      <c r="S20" t="str" cm="1">
        <f t="array" ref="S20">_xlfn.IFS(L20=$L$2,"he is an "&amp;$L$2&amp;"customer",L20=$L$3,"he is an"&amp;$L$3&amp;"customer",L20=$L$4,"he is an" &amp;$L$4&amp;"customer")</f>
        <v>he is anStandardcustomer</v>
      </c>
    </row>
    <row r="21" spans="1:19" x14ac:dyDescent="0.25">
      <c r="A21" s="2" t="s">
        <v>92</v>
      </c>
      <c r="B21" s="5">
        <v>45410</v>
      </c>
      <c r="C21" s="2" t="s">
        <v>93</v>
      </c>
      <c r="D21" s="8" t="s">
        <v>94</v>
      </c>
      <c r="E21" s="2" t="s">
        <v>17</v>
      </c>
      <c r="F21" s="2" t="s">
        <v>18</v>
      </c>
      <c r="G21" s="2" t="s">
        <v>19</v>
      </c>
      <c r="H21" s="14">
        <v>3</v>
      </c>
      <c r="I21" s="11">
        <v>249.99</v>
      </c>
      <c r="J21" s="2" t="s">
        <v>26</v>
      </c>
      <c r="K21" s="2" t="s">
        <v>40</v>
      </c>
      <c r="L21" s="2" t="s">
        <v>27</v>
      </c>
      <c r="M21" s="3">
        <v>45224</v>
      </c>
      <c r="N21" s="11">
        <v>749.97</v>
      </c>
      <c r="O21" s="8" t="s">
        <v>94</v>
      </c>
      <c r="P21" t="str">
        <f t="shared" si="0"/>
        <v>Electronics</v>
      </c>
      <c r="Q21">
        <f>INDEX(D20:N270,MATCH(O21,D21:$D$251,0),11)</f>
        <v>3599.96</v>
      </c>
      <c r="R21" t="str">
        <f t="shared" si="1"/>
        <v>Premium</v>
      </c>
      <c r="S21" t="str" cm="1">
        <f t="array" ref="S21">_xlfn.IFS(L21=$L$2,"he is an "&amp;$L$2&amp;"customer",L21=$L$3,"he is an"&amp;$L$3&amp;"customer",L21=$L$4,"he is an" &amp;$L$4&amp;"customer")</f>
        <v>he is anPremiumcustomer</v>
      </c>
    </row>
    <row r="22" spans="1:19" x14ac:dyDescent="0.25">
      <c r="A22" s="2" t="s">
        <v>95</v>
      </c>
      <c r="B22" s="5">
        <v>45412</v>
      </c>
      <c r="C22" s="2" t="s">
        <v>96</v>
      </c>
      <c r="D22" s="8" t="s">
        <v>97</v>
      </c>
      <c r="E22" s="2" t="s">
        <v>80</v>
      </c>
      <c r="F22" s="2" t="s">
        <v>81</v>
      </c>
      <c r="G22" s="2" t="s">
        <v>19</v>
      </c>
      <c r="H22" s="14">
        <v>5</v>
      </c>
      <c r="I22" s="11">
        <v>699.99</v>
      </c>
      <c r="J22" s="2" t="s">
        <v>20</v>
      </c>
      <c r="K22" s="2" t="s">
        <v>50</v>
      </c>
      <c r="L22" s="2" t="s">
        <v>22</v>
      </c>
      <c r="M22" s="3">
        <v>45167</v>
      </c>
      <c r="N22" s="11">
        <v>3499.95</v>
      </c>
      <c r="O22" s="8" t="s">
        <v>97</v>
      </c>
      <c r="P22" t="str">
        <f t="shared" si="0"/>
        <v>Electronics</v>
      </c>
      <c r="Q22">
        <f>INDEX(D21:N271,MATCH(O22,D22:$D$251,0),11)</f>
        <v>749.97</v>
      </c>
      <c r="R22" t="str">
        <f t="shared" si="1"/>
        <v>your customer is not Premium customer</v>
      </c>
      <c r="S22" t="str" cm="1">
        <f t="array" ref="S22">_xlfn.IFS(L22=$L$2,"he is an "&amp;$L$2&amp;"customer",L22=$L$3,"he is an"&amp;$L$3&amp;"customer",L22=$L$4,"he is an" &amp;$L$4&amp;"customer")</f>
        <v>he is an Basiccustomer</v>
      </c>
    </row>
    <row r="23" spans="1:19" x14ac:dyDescent="0.25">
      <c r="A23" s="2" t="s">
        <v>98</v>
      </c>
      <c r="B23" s="5">
        <v>45413</v>
      </c>
      <c r="C23" s="2" t="s">
        <v>99</v>
      </c>
      <c r="D23" s="8" t="s">
        <v>100</v>
      </c>
      <c r="E23" s="2" t="s">
        <v>80</v>
      </c>
      <c r="F23" s="2" t="s">
        <v>81</v>
      </c>
      <c r="G23" s="2" t="s">
        <v>19</v>
      </c>
      <c r="H23" s="14">
        <v>4</v>
      </c>
      <c r="I23" s="11">
        <v>699.99</v>
      </c>
      <c r="J23" s="2" t="s">
        <v>20</v>
      </c>
      <c r="K23" s="2" t="s">
        <v>63</v>
      </c>
      <c r="L23" s="2" t="s">
        <v>36</v>
      </c>
      <c r="M23" s="3">
        <v>44409</v>
      </c>
      <c r="N23" s="11">
        <v>2799.96</v>
      </c>
      <c r="O23" s="8" t="s">
        <v>100</v>
      </c>
      <c r="P23" t="str">
        <f t="shared" si="0"/>
        <v>Electronics</v>
      </c>
      <c r="Q23">
        <f>INDEX(D22:N272,MATCH(O23,D23:$D$251,0),11)</f>
        <v>3499.95</v>
      </c>
      <c r="R23" t="str">
        <f t="shared" si="1"/>
        <v>your customer is not Premium customer</v>
      </c>
      <c r="S23" t="str" cm="1">
        <f t="array" ref="S23">_xlfn.IFS(L23=$L$2,"he is an "&amp;$L$2&amp;"customer",L23=$L$3,"he is an"&amp;$L$3&amp;"customer",L23=$L$4,"he is an" &amp;$L$4&amp;"customer")</f>
        <v>he is anStandardcustomer</v>
      </c>
    </row>
    <row r="24" spans="1:19" x14ac:dyDescent="0.25">
      <c r="A24" s="2" t="s">
        <v>101</v>
      </c>
      <c r="B24" s="5">
        <v>45415</v>
      </c>
      <c r="C24" s="2" t="s">
        <v>102</v>
      </c>
      <c r="D24" s="8" t="s">
        <v>103</v>
      </c>
      <c r="E24" s="2" t="s">
        <v>17</v>
      </c>
      <c r="F24" s="2" t="s">
        <v>18</v>
      </c>
      <c r="G24" s="2" t="s">
        <v>19</v>
      </c>
      <c r="H24" s="14">
        <v>4</v>
      </c>
      <c r="I24" s="11">
        <v>249.99</v>
      </c>
      <c r="J24" s="2" t="s">
        <v>34</v>
      </c>
      <c r="K24" s="2" t="s">
        <v>40</v>
      </c>
      <c r="L24" s="2" t="s">
        <v>36</v>
      </c>
      <c r="M24" s="3">
        <v>44468</v>
      </c>
      <c r="N24" s="11">
        <v>999.96</v>
      </c>
      <c r="O24" s="8" t="s">
        <v>103</v>
      </c>
      <c r="P24" t="str">
        <f t="shared" si="0"/>
        <v>Electronics</v>
      </c>
      <c r="Q24">
        <f>INDEX(D23:N273,MATCH(O24,D24:$D$251,0),11)</f>
        <v>2799.96</v>
      </c>
      <c r="R24" t="str">
        <f t="shared" si="1"/>
        <v>your customer is not Premium customer</v>
      </c>
      <c r="S24" t="str" cm="1">
        <f t="array" ref="S24">_xlfn.IFS(L24=$L$2,"he is an "&amp;$L$2&amp;"customer",L24=$L$3,"he is an"&amp;$L$3&amp;"customer",L24=$L$4,"he is an" &amp;$L$4&amp;"customer")</f>
        <v>he is anStandardcustomer</v>
      </c>
    </row>
    <row r="25" spans="1:19" x14ac:dyDescent="0.25">
      <c r="A25" s="2" t="s">
        <v>104</v>
      </c>
      <c r="B25" s="5">
        <v>45416</v>
      </c>
      <c r="C25" s="2" t="s">
        <v>86</v>
      </c>
      <c r="D25" s="8" t="s">
        <v>87</v>
      </c>
      <c r="E25" s="2" t="s">
        <v>105</v>
      </c>
      <c r="F25" s="2" t="s">
        <v>106</v>
      </c>
      <c r="G25" s="2" t="s">
        <v>46</v>
      </c>
      <c r="H25" s="14">
        <v>4</v>
      </c>
      <c r="I25" s="11">
        <v>299.99</v>
      </c>
      <c r="J25" s="2" t="s">
        <v>20</v>
      </c>
      <c r="K25" s="2" t="s">
        <v>50</v>
      </c>
      <c r="L25" s="2" t="s">
        <v>27</v>
      </c>
      <c r="M25" s="3">
        <v>44716</v>
      </c>
      <c r="N25" s="11">
        <v>1199.96</v>
      </c>
      <c r="O25" s="8" t="s">
        <v>87</v>
      </c>
      <c r="P25" t="str">
        <f t="shared" si="0"/>
        <v>Furniture</v>
      </c>
      <c r="Q25">
        <f>INDEX(D24:N274,MATCH(O25,D25:$D$251,0),11)</f>
        <v>999.96</v>
      </c>
      <c r="R25" t="str">
        <f t="shared" si="1"/>
        <v>Premium</v>
      </c>
      <c r="S25" t="str" cm="1">
        <f t="array" ref="S25">_xlfn.IFS(L25=$L$2,"he is an "&amp;$L$2&amp;"customer",L25=$L$3,"he is an"&amp;$L$3&amp;"customer",L25=$L$4,"he is an" &amp;$L$4&amp;"customer")</f>
        <v>he is anPremiumcustomer</v>
      </c>
    </row>
    <row r="26" spans="1:19" x14ac:dyDescent="0.25">
      <c r="A26" s="2" t="s">
        <v>107</v>
      </c>
      <c r="B26" s="5">
        <v>45422</v>
      </c>
      <c r="C26" s="2" t="s">
        <v>108</v>
      </c>
      <c r="D26" s="8" t="s">
        <v>109</v>
      </c>
      <c r="E26" s="2" t="s">
        <v>17</v>
      </c>
      <c r="F26" s="2" t="s">
        <v>18</v>
      </c>
      <c r="G26" s="2" t="s">
        <v>19</v>
      </c>
      <c r="H26" s="14">
        <v>5</v>
      </c>
      <c r="I26" s="11">
        <v>249.99</v>
      </c>
      <c r="J26" s="2" t="s">
        <v>26</v>
      </c>
      <c r="K26" s="2" t="s">
        <v>50</v>
      </c>
      <c r="L26" s="2" t="s">
        <v>36</v>
      </c>
      <c r="M26" s="3">
        <v>44525</v>
      </c>
      <c r="N26" s="11">
        <v>1249.95</v>
      </c>
      <c r="O26" s="8" t="s">
        <v>109</v>
      </c>
      <c r="P26" t="str">
        <f t="shared" si="0"/>
        <v>Electronics</v>
      </c>
      <c r="Q26">
        <f>INDEX(D25:N275,MATCH(O26,D26:$D$251,0),11)</f>
        <v>1199.96</v>
      </c>
      <c r="R26" t="str">
        <f t="shared" si="1"/>
        <v>your customer is not Premium customer</v>
      </c>
      <c r="S26" t="str" cm="1">
        <f t="array" ref="S26">_xlfn.IFS(L26=$L$2,"he is an "&amp;$L$2&amp;"customer",L26=$L$3,"he is an"&amp;$L$3&amp;"customer",L26=$L$4,"he is an" &amp;$L$4&amp;"customer")</f>
        <v>he is anStandardcustomer</v>
      </c>
    </row>
    <row r="27" spans="1:19" x14ac:dyDescent="0.25">
      <c r="A27" s="2" t="s">
        <v>110</v>
      </c>
      <c r="B27" s="5">
        <v>45424</v>
      </c>
      <c r="C27" s="2" t="s">
        <v>68</v>
      </c>
      <c r="D27" s="8" t="s">
        <v>69</v>
      </c>
      <c r="E27" s="2" t="s">
        <v>105</v>
      </c>
      <c r="F27" s="2" t="s">
        <v>106</v>
      </c>
      <c r="G27" s="2" t="s">
        <v>46</v>
      </c>
      <c r="H27" s="14">
        <v>5</v>
      </c>
      <c r="I27" s="11">
        <v>299.99</v>
      </c>
      <c r="J27" s="2" t="s">
        <v>34</v>
      </c>
      <c r="K27" s="2" t="s">
        <v>63</v>
      </c>
      <c r="L27" s="2" t="s">
        <v>22</v>
      </c>
      <c r="M27" s="3">
        <v>45168</v>
      </c>
      <c r="N27" s="11">
        <v>1499.95</v>
      </c>
      <c r="O27" s="8" t="s">
        <v>69</v>
      </c>
      <c r="P27" t="str">
        <f t="shared" si="0"/>
        <v>Furniture</v>
      </c>
      <c r="Q27">
        <f>INDEX(D26:N276,MATCH(O27,D27:$D$251,0),11)</f>
        <v>1249.95</v>
      </c>
      <c r="R27" t="str">
        <f t="shared" si="1"/>
        <v>your customer is not Premium customer</v>
      </c>
      <c r="S27" t="str" cm="1">
        <f t="array" ref="S27">_xlfn.IFS(L27=$L$2,"he is an "&amp;$L$2&amp;"customer",L27=$L$3,"he is an"&amp;$L$3&amp;"customer",L27=$L$4,"he is an" &amp;$L$4&amp;"customer")</f>
        <v>he is an Basiccustomer</v>
      </c>
    </row>
    <row r="28" spans="1:19" x14ac:dyDescent="0.25">
      <c r="A28" s="2" t="s">
        <v>111</v>
      </c>
      <c r="B28" s="5">
        <v>45424</v>
      </c>
      <c r="C28" s="2" t="s">
        <v>112</v>
      </c>
      <c r="D28" s="8" t="s">
        <v>113</v>
      </c>
      <c r="E28" s="2" t="s">
        <v>114</v>
      </c>
      <c r="F28" s="2" t="s">
        <v>115</v>
      </c>
      <c r="G28" s="2" t="s">
        <v>33</v>
      </c>
      <c r="H28" s="14">
        <v>3</v>
      </c>
      <c r="I28" s="11">
        <v>79.989999999999995</v>
      </c>
      <c r="J28" s="2" t="s">
        <v>34</v>
      </c>
      <c r="K28" s="2" t="s">
        <v>63</v>
      </c>
      <c r="L28" s="2" t="s">
        <v>27</v>
      </c>
      <c r="M28" s="3">
        <v>45012</v>
      </c>
      <c r="N28" s="11">
        <v>239.97</v>
      </c>
      <c r="O28" s="8" t="s">
        <v>113</v>
      </c>
      <c r="P28" t="str">
        <f t="shared" si="0"/>
        <v>Appliances</v>
      </c>
      <c r="Q28">
        <f>INDEX(D27:N277,MATCH(O28,D28:$D$251,0),11)</f>
        <v>1499.95</v>
      </c>
      <c r="R28" t="str">
        <f t="shared" si="1"/>
        <v>Premium</v>
      </c>
      <c r="S28" t="str" cm="1">
        <f t="array" ref="S28">_xlfn.IFS(L28=$L$2,"he is an "&amp;$L$2&amp;"customer",L28=$L$3,"he is an"&amp;$L$3&amp;"customer",L28=$L$4,"he is an" &amp;$L$4&amp;"customer")</f>
        <v>he is anPremiumcustomer</v>
      </c>
    </row>
    <row r="29" spans="1:19" x14ac:dyDescent="0.25">
      <c r="A29" s="2" t="s">
        <v>116</v>
      </c>
      <c r="B29" s="5">
        <v>45424</v>
      </c>
      <c r="C29" s="2" t="s">
        <v>99</v>
      </c>
      <c r="D29" s="8" t="s">
        <v>100</v>
      </c>
      <c r="E29" s="2" t="s">
        <v>117</v>
      </c>
      <c r="F29" s="2" t="s">
        <v>118</v>
      </c>
      <c r="G29" s="2" t="s">
        <v>19</v>
      </c>
      <c r="H29" s="14">
        <v>5</v>
      </c>
      <c r="I29" s="11">
        <v>89.99</v>
      </c>
      <c r="J29" s="2" t="s">
        <v>20</v>
      </c>
      <c r="K29" s="2" t="s">
        <v>40</v>
      </c>
      <c r="L29" s="2" t="s">
        <v>27</v>
      </c>
      <c r="M29" s="3">
        <v>44919</v>
      </c>
      <c r="N29" s="11">
        <v>449.95</v>
      </c>
      <c r="O29" s="8" t="s">
        <v>100</v>
      </c>
      <c r="P29" t="str">
        <f t="shared" si="0"/>
        <v>Electronics</v>
      </c>
      <c r="Q29">
        <f>INDEX(D28:N278,MATCH(O29,D29:$D$251,0),11)</f>
        <v>239.97</v>
      </c>
      <c r="R29" t="str">
        <f t="shared" si="1"/>
        <v>Premium</v>
      </c>
      <c r="S29" t="str" cm="1">
        <f t="array" ref="S29">_xlfn.IFS(L29=$L$2,"he is an "&amp;$L$2&amp;"customer",L29=$L$3,"he is an"&amp;$L$3&amp;"customer",L29=$L$4,"he is an" &amp;$L$4&amp;"customer")</f>
        <v>he is anPremiumcustomer</v>
      </c>
    </row>
    <row r="30" spans="1:19" x14ac:dyDescent="0.25">
      <c r="A30" s="2" t="s">
        <v>119</v>
      </c>
      <c r="B30" s="5">
        <v>45425</v>
      </c>
      <c r="C30" s="2" t="s">
        <v>120</v>
      </c>
      <c r="D30" s="8" t="s">
        <v>121</v>
      </c>
      <c r="E30" s="2" t="s">
        <v>31</v>
      </c>
      <c r="F30" s="2" t="s">
        <v>32</v>
      </c>
      <c r="G30" s="2" t="s">
        <v>33</v>
      </c>
      <c r="H30" s="14">
        <v>2</v>
      </c>
      <c r="I30" s="11">
        <v>59.99</v>
      </c>
      <c r="J30" s="2" t="s">
        <v>57</v>
      </c>
      <c r="K30" s="2" t="s">
        <v>21</v>
      </c>
      <c r="L30" s="2" t="s">
        <v>36</v>
      </c>
      <c r="M30" s="3">
        <v>45214</v>
      </c>
      <c r="N30" s="11">
        <v>119.98</v>
      </c>
      <c r="O30" s="8" t="s">
        <v>121</v>
      </c>
      <c r="P30" t="str">
        <f t="shared" si="0"/>
        <v>Appliances</v>
      </c>
      <c r="Q30">
        <f>INDEX(D29:N279,MATCH(O30,D30:$D$251,0),11)</f>
        <v>449.95</v>
      </c>
      <c r="R30" t="str">
        <f t="shared" si="1"/>
        <v>your customer is not Premium customer</v>
      </c>
      <c r="S30" t="str" cm="1">
        <f t="array" ref="S30">_xlfn.IFS(L30=$L$2,"he is an "&amp;$L$2&amp;"customer",L30=$L$3,"he is an"&amp;$L$3&amp;"customer",L30=$L$4,"he is an" &amp;$L$4&amp;"customer")</f>
        <v>he is anStandardcustomer</v>
      </c>
    </row>
    <row r="31" spans="1:19" x14ac:dyDescent="0.25">
      <c r="A31" s="2" t="s">
        <v>122</v>
      </c>
      <c r="B31" s="5">
        <v>45427</v>
      </c>
      <c r="C31" s="2" t="s">
        <v>123</v>
      </c>
      <c r="D31" s="8" t="s">
        <v>124</v>
      </c>
      <c r="E31" s="2" t="s">
        <v>31</v>
      </c>
      <c r="F31" s="2" t="s">
        <v>32</v>
      </c>
      <c r="G31" s="2" t="s">
        <v>33</v>
      </c>
      <c r="H31" s="14">
        <v>4</v>
      </c>
      <c r="I31" s="11">
        <v>59.99</v>
      </c>
      <c r="J31" s="2" t="s">
        <v>57</v>
      </c>
      <c r="K31" s="2" t="s">
        <v>63</v>
      </c>
      <c r="L31" s="2" t="s">
        <v>36</v>
      </c>
      <c r="M31" s="3">
        <v>44867</v>
      </c>
      <c r="N31" s="11">
        <v>239.96</v>
      </c>
      <c r="O31" s="8" t="s">
        <v>124</v>
      </c>
      <c r="P31" t="str">
        <f t="shared" si="0"/>
        <v>Appliances</v>
      </c>
      <c r="Q31">
        <f>INDEX(D30:N280,MATCH(O31,D31:$D$251,0),11)</f>
        <v>119.98</v>
      </c>
      <c r="R31" t="str">
        <f t="shared" si="1"/>
        <v>your customer is not Premium customer</v>
      </c>
      <c r="S31" t="str" cm="1">
        <f t="array" ref="S31">_xlfn.IFS(L31=$L$2,"he is an "&amp;$L$2&amp;"customer",L31=$L$3,"he is an"&amp;$L$3&amp;"customer",L31=$L$4,"he is an" &amp;$L$4&amp;"customer")</f>
        <v>he is anStandardcustomer</v>
      </c>
    </row>
    <row r="32" spans="1:19" x14ac:dyDescent="0.25">
      <c r="A32" s="2" t="s">
        <v>125</v>
      </c>
      <c r="B32" s="5">
        <v>45427</v>
      </c>
      <c r="C32" s="2" t="s">
        <v>55</v>
      </c>
      <c r="D32" s="8" t="s">
        <v>56</v>
      </c>
      <c r="E32" s="2" t="s">
        <v>126</v>
      </c>
      <c r="F32" s="2" t="s">
        <v>127</v>
      </c>
      <c r="G32" s="2" t="s">
        <v>46</v>
      </c>
      <c r="H32" s="14">
        <v>5</v>
      </c>
      <c r="I32" s="11">
        <v>199.99</v>
      </c>
      <c r="J32" s="2" t="s">
        <v>20</v>
      </c>
      <c r="K32" s="2" t="s">
        <v>35</v>
      </c>
      <c r="L32" s="2" t="s">
        <v>36</v>
      </c>
      <c r="M32" s="3">
        <v>44412</v>
      </c>
      <c r="N32" s="11">
        <v>999.95</v>
      </c>
      <c r="O32" s="8" t="s">
        <v>56</v>
      </c>
      <c r="P32" t="str">
        <f t="shared" si="0"/>
        <v>Furniture</v>
      </c>
      <c r="Q32">
        <f>INDEX(D31:N281,MATCH(O32,D32:$D$251,0),11)</f>
        <v>239.96</v>
      </c>
      <c r="R32" t="str">
        <f t="shared" si="1"/>
        <v>your customer is not Premium customer</v>
      </c>
      <c r="S32" t="str" cm="1">
        <f t="array" ref="S32">_xlfn.IFS(L32=$L$2,"he is an "&amp;$L$2&amp;"customer",L32=$L$3,"he is an"&amp;$L$3&amp;"customer",L32=$L$4,"he is an" &amp;$L$4&amp;"customer")</f>
        <v>he is anStandardcustomer</v>
      </c>
    </row>
    <row r="33" spans="1:19" x14ac:dyDescent="0.25">
      <c r="A33" s="2" t="s">
        <v>128</v>
      </c>
      <c r="B33" s="5">
        <v>45428</v>
      </c>
      <c r="C33" s="2" t="s">
        <v>129</v>
      </c>
      <c r="D33" s="8" t="s">
        <v>130</v>
      </c>
      <c r="E33" s="2" t="s">
        <v>44</v>
      </c>
      <c r="F33" s="2" t="s">
        <v>45</v>
      </c>
      <c r="G33" s="2" t="s">
        <v>46</v>
      </c>
      <c r="H33" s="14">
        <v>2</v>
      </c>
      <c r="I33" s="11">
        <v>149.99</v>
      </c>
      <c r="J33" s="2" t="s">
        <v>26</v>
      </c>
      <c r="K33" s="2" t="s">
        <v>50</v>
      </c>
      <c r="L33" s="2" t="s">
        <v>22</v>
      </c>
      <c r="M33" s="3">
        <v>44823</v>
      </c>
      <c r="N33" s="11">
        <v>299.98</v>
      </c>
      <c r="O33" s="8" t="s">
        <v>130</v>
      </c>
      <c r="P33" t="str">
        <f t="shared" si="0"/>
        <v>Furniture</v>
      </c>
      <c r="Q33">
        <f>INDEX(D32:N282,MATCH(O33,D33:$D$251,0),11)</f>
        <v>999.95</v>
      </c>
      <c r="R33" t="str">
        <f t="shared" si="1"/>
        <v>your customer is not Premium customer</v>
      </c>
      <c r="S33" t="str" cm="1">
        <f t="array" ref="S33">_xlfn.IFS(L33=$L$2,"he is an "&amp;$L$2&amp;"customer",L33=$L$3,"he is an"&amp;$L$3&amp;"customer",L33=$L$4,"he is an" &amp;$L$4&amp;"customer")</f>
        <v>he is an Basiccustomer</v>
      </c>
    </row>
    <row r="34" spans="1:19" x14ac:dyDescent="0.25">
      <c r="A34" s="2" t="s">
        <v>131</v>
      </c>
      <c r="B34" s="5">
        <v>45430</v>
      </c>
      <c r="C34" s="2" t="s">
        <v>132</v>
      </c>
      <c r="D34" s="8" t="s">
        <v>133</v>
      </c>
      <c r="E34" s="2" t="s">
        <v>44</v>
      </c>
      <c r="F34" s="2" t="s">
        <v>45</v>
      </c>
      <c r="G34" s="2" t="s">
        <v>46</v>
      </c>
      <c r="H34" s="14">
        <v>3</v>
      </c>
      <c r="I34" s="11">
        <v>149.99</v>
      </c>
      <c r="J34" s="2" t="s">
        <v>26</v>
      </c>
      <c r="K34" s="2" t="s">
        <v>50</v>
      </c>
      <c r="L34" s="2" t="s">
        <v>27</v>
      </c>
      <c r="M34" s="3">
        <v>45068</v>
      </c>
      <c r="N34" s="11">
        <v>449.97</v>
      </c>
      <c r="O34" s="8" t="s">
        <v>133</v>
      </c>
      <c r="P34" t="str">
        <f t="shared" si="0"/>
        <v>Furniture</v>
      </c>
      <c r="Q34">
        <f>INDEX(D33:N283,MATCH(O34,D34:$D$251,0),11)</f>
        <v>299.98</v>
      </c>
      <c r="R34" t="str">
        <f t="shared" si="1"/>
        <v>Premium</v>
      </c>
      <c r="S34" t="str" cm="1">
        <f t="array" ref="S34">_xlfn.IFS(L34=$L$2,"he is an "&amp;$L$2&amp;"customer",L34=$L$3,"he is an"&amp;$L$3&amp;"customer",L34=$L$4,"he is an" &amp;$L$4&amp;"customer")</f>
        <v>he is anPremiumcustomer</v>
      </c>
    </row>
    <row r="35" spans="1:19" x14ac:dyDescent="0.25">
      <c r="A35" s="2" t="s">
        <v>134</v>
      </c>
      <c r="B35" s="5">
        <v>45432</v>
      </c>
      <c r="C35" s="2" t="s">
        <v>29</v>
      </c>
      <c r="D35" s="8" t="s">
        <v>30</v>
      </c>
      <c r="E35" s="2" t="s">
        <v>61</v>
      </c>
      <c r="F35" s="2" t="s">
        <v>62</v>
      </c>
      <c r="G35" s="2" t="s">
        <v>19</v>
      </c>
      <c r="H35" s="14">
        <v>1</v>
      </c>
      <c r="I35" s="11">
        <v>899.99</v>
      </c>
      <c r="J35" s="2" t="s">
        <v>26</v>
      </c>
      <c r="K35" s="2" t="s">
        <v>50</v>
      </c>
      <c r="L35" s="2" t="s">
        <v>27</v>
      </c>
      <c r="M35" s="3">
        <v>44578</v>
      </c>
      <c r="N35" s="11">
        <v>899.99</v>
      </c>
      <c r="O35" s="8" t="s">
        <v>30</v>
      </c>
      <c r="P35" t="str">
        <f t="shared" si="0"/>
        <v>Electronics</v>
      </c>
      <c r="Q35">
        <f>INDEX(D34:N284,MATCH(O35,D35:$D$251,0),11)</f>
        <v>449.97</v>
      </c>
      <c r="R35" t="str">
        <f t="shared" si="1"/>
        <v>Premium</v>
      </c>
      <c r="S35" t="str" cm="1">
        <f t="array" ref="S35">_xlfn.IFS(L35=$L$2,"he is an "&amp;$L$2&amp;"customer",L35=$L$3,"he is an"&amp;$L$3&amp;"customer",L35=$L$4,"he is an" &amp;$L$4&amp;"customer")</f>
        <v>he is anPremiumcustomer</v>
      </c>
    </row>
    <row r="36" spans="1:19" x14ac:dyDescent="0.25">
      <c r="A36" s="2" t="s">
        <v>135</v>
      </c>
      <c r="B36" s="5">
        <v>45434</v>
      </c>
      <c r="C36" s="2" t="s">
        <v>99</v>
      </c>
      <c r="D36" s="8" t="s">
        <v>100</v>
      </c>
      <c r="E36" s="2" t="s">
        <v>105</v>
      </c>
      <c r="F36" s="2" t="s">
        <v>106</v>
      </c>
      <c r="G36" s="2" t="s">
        <v>46</v>
      </c>
      <c r="H36" s="14">
        <v>3</v>
      </c>
      <c r="I36" s="11">
        <v>299.99</v>
      </c>
      <c r="J36" s="2" t="s">
        <v>26</v>
      </c>
      <c r="K36" s="2" t="s">
        <v>63</v>
      </c>
      <c r="L36" s="2" t="s">
        <v>22</v>
      </c>
      <c r="M36" s="3">
        <v>44824</v>
      </c>
      <c r="N36" s="11">
        <v>899.97</v>
      </c>
      <c r="O36" s="8" t="s">
        <v>100</v>
      </c>
      <c r="P36" t="str">
        <f t="shared" si="0"/>
        <v>Furniture</v>
      </c>
      <c r="Q36">
        <f>INDEX(D35:N285,MATCH(O36,D36:$D$251,0),11)</f>
        <v>899.99</v>
      </c>
      <c r="R36" t="str">
        <f t="shared" si="1"/>
        <v>your customer is not Premium customer</v>
      </c>
      <c r="S36" t="str" cm="1">
        <f t="array" ref="S36">_xlfn.IFS(L36=$L$2,"he is an "&amp;$L$2&amp;"customer",L36=$L$3,"he is an"&amp;$L$3&amp;"customer",L36=$L$4,"he is an" &amp;$L$4&amp;"customer")</f>
        <v>he is an Basiccustomer</v>
      </c>
    </row>
    <row r="37" spans="1:19" x14ac:dyDescent="0.25">
      <c r="A37" s="2" t="s">
        <v>136</v>
      </c>
      <c r="B37" s="5">
        <v>45435</v>
      </c>
      <c r="C37" s="2" t="s">
        <v>129</v>
      </c>
      <c r="D37" s="8" t="s">
        <v>130</v>
      </c>
      <c r="E37" s="2" t="s">
        <v>114</v>
      </c>
      <c r="F37" s="2" t="s">
        <v>115</v>
      </c>
      <c r="G37" s="2" t="s">
        <v>33</v>
      </c>
      <c r="H37" s="14">
        <v>3</v>
      </c>
      <c r="I37" s="11">
        <v>79.989999999999995</v>
      </c>
      <c r="J37" s="2" t="s">
        <v>20</v>
      </c>
      <c r="K37" s="2" t="s">
        <v>35</v>
      </c>
      <c r="L37" s="2" t="s">
        <v>22</v>
      </c>
      <c r="M37" s="3">
        <v>45046</v>
      </c>
      <c r="N37" s="11">
        <v>239.97</v>
      </c>
      <c r="O37" s="8" t="s">
        <v>130</v>
      </c>
      <c r="P37" t="str">
        <f t="shared" si="0"/>
        <v>Appliances</v>
      </c>
      <c r="Q37">
        <f>INDEX(D36:N286,MATCH(O37,D37:$D$251,0),11)</f>
        <v>899.97</v>
      </c>
      <c r="R37" t="str">
        <f t="shared" si="1"/>
        <v>your customer is not Premium customer</v>
      </c>
      <c r="S37" t="str" cm="1">
        <f t="array" ref="S37">_xlfn.IFS(L37=$L$2,"he is an "&amp;$L$2&amp;"customer",L37=$L$3,"he is an"&amp;$L$3&amp;"customer",L37=$L$4,"he is an" &amp;$L$4&amp;"customer")</f>
        <v>he is an Basiccustomer</v>
      </c>
    </row>
    <row r="38" spans="1:19" x14ac:dyDescent="0.25">
      <c r="A38" s="2" t="s">
        <v>137</v>
      </c>
      <c r="B38" s="5">
        <v>45438</v>
      </c>
      <c r="C38" s="2" t="s">
        <v>138</v>
      </c>
      <c r="D38" s="8" t="s">
        <v>139</v>
      </c>
      <c r="E38" s="2" t="s">
        <v>126</v>
      </c>
      <c r="F38" s="2" t="s">
        <v>127</v>
      </c>
      <c r="G38" s="2" t="s">
        <v>46</v>
      </c>
      <c r="H38" s="14">
        <v>3</v>
      </c>
      <c r="I38" s="11">
        <v>199.99</v>
      </c>
      <c r="J38" s="2" t="s">
        <v>26</v>
      </c>
      <c r="K38" s="2" t="s">
        <v>40</v>
      </c>
      <c r="L38" s="2" t="s">
        <v>27</v>
      </c>
      <c r="M38" s="3">
        <v>45292</v>
      </c>
      <c r="N38" s="11">
        <v>599.97</v>
      </c>
      <c r="O38" s="8" t="s">
        <v>139</v>
      </c>
      <c r="P38" t="str">
        <f t="shared" si="0"/>
        <v>Furniture</v>
      </c>
      <c r="Q38">
        <f>INDEX(D37:N287,MATCH(O38,D38:$D$251,0),11)</f>
        <v>239.97</v>
      </c>
      <c r="R38" t="str">
        <f t="shared" si="1"/>
        <v>Premium</v>
      </c>
      <c r="S38" t="str" cm="1">
        <f t="array" ref="S38">_xlfn.IFS(L38=$L$2,"he is an "&amp;$L$2&amp;"customer",L38=$L$3,"he is an"&amp;$L$3&amp;"customer",L38=$L$4,"he is an" &amp;$L$4&amp;"customer")</f>
        <v>he is anPremiumcustomer</v>
      </c>
    </row>
    <row r="39" spans="1:19" x14ac:dyDescent="0.25">
      <c r="A39" s="2" t="s">
        <v>140</v>
      </c>
      <c r="B39" s="5">
        <v>45440</v>
      </c>
      <c r="C39" s="2" t="s">
        <v>141</v>
      </c>
      <c r="D39" s="8" t="s">
        <v>142</v>
      </c>
      <c r="E39" s="2" t="s">
        <v>80</v>
      </c>
      <c r="F39" s="2" t="s">
        <v>81</v>
      </c>
      <c r="G39" s="2" t="s">
        <v>19</v>
      </c>
      <c r="H39" s="14">
        <v>5</v>
      </c>
      <c r="I39" s="11">
        <v>699.99</v>
      </c>
      <c r="J39" s="2" t="s">
        <v>34</v>
      </c>
      <c r="K39" s="2" t="s">
        <v>50</v>
      </c>
      <c r="L39" s="2" t="s">
        <v>36</v>
      </c>
      <c r="M39" s="3">
        <v>44407</v>
      </c>
      <c r="N39" s="11">
        <v>3499.95</v>
      </c>
      <c r="O39" s="8" t="s">
        <v>142</v>
      </c>
      <c r="P39" t="str">
        <f t="shared" si="0"/>
        <v>Electronics</v>
      </c>
      <c r="Q39">
        <f>INDEX(D38:N288,MATCH(O39,D39:$D$251,0),11)</f>
        <v>599.97</v>
      </c>
      <c r="R39" t="str">
        <f t="shared" si="1"/>
        <v>your customer is not Premium customer</v>
      </c>
      <c r="S39" t="str" cm="1">
        <f t="array" ref="S39">_xlfn.IFS(L39=$L$2,"he is an "&amp;$L$2&amp;"customer",L39=$L$3,"he is an"&amp;$L$3&amp;"customer",L39=$L$4,"he is an" &amp;$L$4&amp;"customer")</f>
        <v>he is anStandardcustomer</v>
      </c>
    </row>
    <row r="40" spans="1:19" x14ac:dyDescent="0.25">
      <c r="A40" s="2" t="s">
        <v>143</v>
      </c>
      <c r="B40" s="5">
        <v>45441</v>
      </c>
      <c r="C40" s="2" t="s">
        <v>144</v>
      </c>
      <c r="D40" s="8" t="s">
        <v>145</v>
      </c>
      <c r="E40" s="2" t="s">
        <v>117</v>
      </c>
      <c r="F40" s="2" t="s">
        <v>118</v>
      </c>
      <c r="G40" s="2" t="s">
        <v>19</v>
      </c>
      <c r="H40" s="14">
        <v>3</v>
      </c>
      <c r="I40" s="11">
        <v>89.99</v>
      </c>
      <c r="J40" s="2" t="s">
        <v>34</v>
      </c>
      <c r="K40" s="2" t="s">
        <v>21</v>
      </c>
      <c r="L40" s="2" t="s">
        <v>27</v>
      </c>
      <c r="M40" s="3">
        <v>45120</v>
      </c>
      <c r="N40" s="11">
        <v>269.97000000000003</v>
      </c>
      <c r="O40" s="8" t="s">
        <v>145</v>
      </c>
      <c r="P40" t="str">
        <f t="shared" si="0"/>
        <v>Electronics</v>
      </c>
      <c r="Q40">
        <f>INDEX(D39:N289,MATCH(O40,D40:$D$251,0),11)</f>
        <v>3499.95</v>
      </c>
      <c r="R40" t="str">
        <f t="shared" si="1"/>
        <v>Premium</v>
      </c>
      <c r="S40" t="str" cm="1">
        <f t="array" ref="S40">_xlfn.IFS(L40=$L$2,"he is an "&amp;$L$2&amp;"customer",L40=$L$3,"he is an"&amp;$L$3&amp;"customer",L40=$L$4,"he is an" &amp;$L$4&amp;"customer")</f>
        <v>he is anPremiumcustomer</v>
      </c>
    </row>
    <row r="41" spans="1:19" x14ac:dyDescent="0.25">
      <c r="A41" s="2" t="s">
        <v>146</v>
      </c>
      <c r="B41" s="5">
        <v>45443</v>
      </c>
      <c r="C41" s="2" t="s">
        <v>147</v>
      </c>
      <c r="D41" s="8" t="s">
        <v>148</v>
      </c>
      <c r="E41" s="2" t="s">
        <v>114</v>
      </c>
      <c r="F41" s="2" t="s">
        <v>115</v>
      </c>
      <c r="G41" s="2" t="s">
        <v>33</v>
      </c>
      <c r="H41" s="14">
        <v>1</v>
      </c>
      <c r="I41" s="11">
        <v>79.989999999999995</v>
      </c>
      <c r="J41" s="2" t="s">
        <v>20</v>
      </c>
      <c r="K41" s="2" t="s">
        <v>40</v>
      </c>
      <c r="L41" s="2" t="s">
        <v>36</v>
      </c>
      <c r="M41" s="3">
        <v>44917</v>
      </c>
      <c r="N41" s="11">
        <v>79.989999999999995</v>
      </c>
      <c r="O41" s="8" t="s">
        <v>148</v>
      </c>
      <c r="P41" t="str">
        <f t="shared" si="0"/>
        <v>Appliances</v>
      </c>
      <c r="Q41">
        <f>INDEX(D40:N290,MATCH(O41,D41:$D$251,0),11)</f>
        <v>269.97000000000003</v>
      </c>
      <c r="R41" t="str">
        <f t="shared" si="1"/>
        <v>your customer is not Premium customer</v>
      </c>
      <c r="S41" t="str" cm="1">
        <f t="array" ref="S41">_xlfn.IFS(L41=$L$2,"he is an "&amp;$L$2&amp;"customer",L41=$L$3,"he is an"&amp;$L$3&amp;"customer",L41=$L$4,"he is an" &amp;$L$4&amp;"customer")</f>
        <v>he is anStandardcustomer</v>
      </c>
    </row>
    <row r="42" spans="1:19" x14ac:dyDescent="0.25">
      <c r="A42" s="2" t="s">
        <v>149</v>
      </c>
      <c r="B42" s="5">
        <v>45444</v>
      </c>
      <c r="C42" s="2" t="s">
        <v>150</v>
      </c>
      <c r="D42" s="8" t="s">
        <v>151</v>
      </c>
      <c r="E42" s="2" t="s">
        <v>31</v>
      </c>
      <c r="F42" s="2" t="s">
        <v>32</v>
      </c>
      <c r="G42" s="2" t="s">
        <v>33</v>
      </c>
      <c r="H42" s="14">
        <v>2</v>
      </c>
      <c r="I42" s="11">
        <v>59.99</v>
      </c>
      <c r="J42" s="2" t="s">
        <v>20</v>
      </c>
      <c r="K42" s="2" t="s">
        <v>50</v>
      </c>
      <c r="L42" s="2" t="s">
        <v>22</v>
      </c>
      <c r="M42" s="3">
        <v>45390</v>
      </c>
      <c r="N42" s="11">
        <v>119.98</v>
      </c>
      <c r="O42" s="8" t="s">
        <v>151</v>
      </c>
      <c r="P42" t="str">
        <f t="shared" si="0"/>
        <v>Appliances</v>
      </c>
      <c r="Q42">
        <f>INDEX(D41:N291,MATCH(O42,D42:$D$251,0),11)</f>
        <v>79.989999999999995</v>
      </c>
      <c r="R42" t="str">
        <f t="shared" si="1"/>
        <v>your customer is not Premium customer</v>
      </c>
      <c r="S42" t="str" cm="1">
        <f t="array" ref="S42">_xlfn.IFS(L42=$L$2,"he is an "&amp;$L$2&amp;"customer",L42=$L$3,"he is an"&amp;$L$3&amp;"customer",L42=$L$4,"he is an" &amp;$L$4&amp;"customer")</f>
        <v>he is an Basiccustomer</v>
      </c>
    </row>
    <row r="43" spans="1:19" x14ac:dyDescent="0.25">
      <c r="A43" s="2" t="s">
        <v>152</v>
      </c>
      <c r="B43" s="5">
        <v>45444</v>
      </c>
      <c r="C43" s="2" t="s">
        <v>55</v>
      </c>
      <c r="D43" s="8" t="s">
        <v>56</v>
      </c>
      <c r="E43" s="2" t="s">
        <v>117</v>
      </c>
      <c r="F43" s="2" t="s">
        <v>118</v>
      </c>
      <c r="G43" s="2" t="s">
        <v>19</v>
      </c>
      <c r="H43" s="14">
        <v>1</v>
      </c>
      <c r="I43" s="11">
        <v>89.99</v>
      </c>
      <c r="J43" s="2" t="s">
        <v>20</v>
      </c>
      <c r="K43" s="2" t="s">
        <v>40</v>
      </c>
      <c r="L43" s="2" t="s">
        <v>22</v>
      </c>
      <c r="M43" s="3">
        <v>45141</v>
      </c>
      <c r="N43" s="11">
        <v>89.99</v>
      </c>
      <c r="O43" s="8" t="s">
        <v>56</v>
      </c>
      <c r="P43" t="str">
        <f t="shared" si="0"/>
        <v>Electronics</v>
      </c>
      <c r="Q43">
        <f>INDEX(D42:N292,MATCH(O43,D43:$D$251,0),11)</f>
        <v>119.98</v>
      </c>
      <c r="R43" t="str">
        <f t="shared" si="1"/>
        <v>your customer is not Premium customer</v>
      </c>
      <c r="S43" t="str" cm="1">
        <f t="array" ref="S43">_xlfn.IFS(L43=$L$2,"he is an "&amp;$L$2&amp;"customer",L43=$L$3,"he is an"&amp;$L$3&amp;"customer",L43=$L$4,"he is an" &amp;$L$4&amp;"customer")</f>
        <v>he is an Basiccustomer</v>
      </c>
    </row>
    <row r="44" spans="1:19" x14ac:dyDescent="0.25">
      <c r="A44" s="2" t="s">
        <v>153</v>
      </c>
      <c r="B44" s="5">
        <v>45446</v>
      </c>
      <c r="C44" s="2" t="s">
        <v>154</v>
      </c>
      <c r="D44" s="8" t="s">
        <v>155</v>
      </c>
      <c r="E44" s="2" t="s">
        <v>117</v>
      </c>
      <c r="F44" s="2" t="s">
        <v>118</v>
      </c>
      <c r="G44" s="2" t="s">
        <v>19</v>
      </c>
      <c r="H44" s="14">
        <v>5</v>
      </c>
      <c r="I44" s="11">
        <v>89.99</v>
      </c>
      <c r="J44" s="2" t="s">
        <v>26</v>
      </c>
      <c r="K44" s="2" t="s">
        <v>63</v>
      </c>
      <c r="L44" s="2" t="s">
        <v>36</v>
      </c>
      <c r="M44" s="3">
        <v>44587</v>
      </c>
      <c r="N44" s="11">
        <v>449.95</v>
      </c>
      <c r="O44" s="8" t="s">
        <v>155</v>
      </c>
      <c r="P44" t="str">
        <f t="shared" si="0"/>
        <v>Electronics</v>
      </c>
      <c r="Q44">
        <f>INDEX(D43:N293,MATCH(O44,D44:$D$251,0),11)</f>
        <v>89.99</v>
      </c>
      <c r="R44" t="str">
        <f t="shared" si="1"/>
        <v>your customer is not Premium customer</v>
      </c>
      <c r="S44" t="str" cm="1">
        <f t="array" ref="S44">_xlfn.IFS(L44=$L$2,"he is an "&amp;$L$2&amp;"customer",L44=$L$3,"he is an"&amp;$L$3&amp;"customer",L44=$L$4,"he is an" &amp;$L$4&amp;"customer")</f>
        <v>he is anStandardcustomer</v>
      </c>
    </row>
    <row r="45" spans="1:19" x14ac:dyDescent="0.25">
      <c r="A45" s="2" t="s">
        <v>156</v>
      </c>
      <c r="B45" s="5">
        <v>45449</v>
      </c>
      <c r="C45" s="2" t="s">
        <v>24</v>
      </c>
      <c r="D45" s="8" t="s">
        <v>25</v>
      </c>
      <c r="E45" s="2" t="s">
        <v>17</v>
      </c>
      <c r="F45" s="2" t="s">
        <v>18</v>
      </c>
      <c r="G45" s="2" t="s">
        <v>19</v>
      </c>
      <c r="H45" s="14">
        <v>5</v>
      </c>
      <c r="I45" s="11">
        <v>249.99</v>
      </c>
      <c r="J45" s="2" t="s">
        <v>26</v>
      </c>
      <c r="K45" s="2" t="s">
        <v>63</v>
      </c>
      <c r="L45" s="2" t="s">
        <v>36</v>
      </c>
      <c r="M45" s="3">
        <v>44707</v>
      </c>
      <c r="N45" s="11">
        <v>1249.95</v>
      </c>
      <c r="O45" s="8" t="s">
        <v>25</v>
      </c>
      <c r="P45" t="str">
        <f t="shared" si="0"/>
        <v>Electronics</v>
      </c>
      <c r="Q45">
        <f>INDEX(D44:N294,MATCH(O45,D45:$D$251,0),11)</f>
        <v>449.95</v>
      </c>
      <c r="R45" t="str">
        <f t="shared" si="1"/>
        <v>your customer is not Premium customer</v>
      </c>
      <c r="S45" t="str" cm="1">
        <f t="array" ref="S45">_xlfn.IFS(L45=$L$2,"he is an "&amp;$L$2&amp;"customer",L45=$L$3,"he is an"&amp;$L$3&amp;"customer",L45=$L$4,"he is an" &amp;$L$4&amp;"customer")</f>
        <v>he is anStandardcustomer</v>
      </c>
    </row>
    <row r="46" spans="1:19" x14ac:dyDescent="0.25">
      <c r="A46" s="2" t="s">
        <v>157</v>
      </c>
      <c r="B46" s="5">
        <v>45449</v>
      </c>
      <c r="C46" s="2" t="s">
        <v>158</v>
      </c>
      <c r="D46" s="8" t="s">
        <v>159</v>
      </c>
      <c r="E46" s="2" t="s">
        <v>117</v>
      </c>
      <c r="F46" s="2" t="s">
        <v>118</v>
      </c>
      <c r="G46" s="2" t="s">
        <v>19</v>
      </c>
      <c r="H46" s="14">
        <v>1</v>
      </c>
      <c r="I46" s="11">
        <v>89.99</v>
      </c>
      <c r="J46" s="2" t="s">
        <v>26</v>
      </c>
      <c r="K46" s="2" t="s">
        <v>35</v>
      </c>
      <c r="L46" s="2" t="s">
        <v>36</v>
      </c>
      <c r="M46" s="3">
        <v>44582</v>
      </c>
      <c r="N46" s="11">
        <v>89.99</v>
      </c>
      <c r="O46" s="8" t="s">
        <v>159</v>
      </c>
      <c r="P46" t="str">
        <f t="shared" si="0"/>
        <v>Electronics</v>
      </c>
      <c r="Q46">
        <f>INDEX(D45:N295,MATCH(O46,D46:$D$251,0),11)</f>
        <v>1249.95</v>
      </c>
      <c r="R46" t="str">
        <f t="shared" si="1"/>
        <v>your customer is not Premium customer</v>
      </c>
      <c r="S46" t="str" cm="1">
        <f t="array" ref="S46">_xlfn.IFS(L46=$L$2,"he is an "&amp;$L$2&amp;"customer",L46=$L$3,"he is an"&amp;$L$3&amp;"customer",L46=$L$4,"he is an" &amp;$L$4&amp;"customer")</f>
        <v>he is anStandardcustomer</v>
      </c>
    </row>
    <row r="47" spans="1:19" x14ac:dyDescent="0.25">
      <c r="A47" s="2" t="s">
        <v>160</v>
      </c>
      <c r="B47" s="5">
        <v>45450</v>
      </c>
      <c r="C47" s="2" t="s">
        <v>42</v>
      </c>
      <c r="D47" s="8" t="s">
        <v>43</v>
      </c>
      <c r="E47" s="2" t="s">
        <v>44</v>
      </c>
      <c r="F47" s="2" t="s">
        <v>45</v>
      </c>
      <c r="G47" s="2" t="s">
        <v>46</v>
      </c>
      <c r="H47" s="14">
        <v>2</v>
      </c>
      <c r="I47" s="11">
        <v>149.99</v>
      </c>
      <c r="J47" s="2" t="s">
        <v>20</v>
      </c>
      <c r="K47" s="2" t="s">
        <v>63</v>
      </c>
      <c r="L47" s="2" t="s">
        <v>27</v>
      </c>
      <c r="M47" s="3">
        <v>44645</v>
      </c>
      <c r="N47" s="11">
        <v>299.98</v>
      </c>
      <c r="O47" s="8" t="s">
        <v>43</v>
      </c>
      <c r="P47" t="str">
        <f t="shared" si="0"/>
        <v>Furniture</v>
      </c>
      <c r="Q47">
        <f>INDEX(D46:N296,MATCH(O47,D47:$D$251,0),11)</f>
        <v>89.99</v>
      </c>
      <c r="R47" t="str">
        <f t="shared" si="1"/>
        <v>Premium</v>
      </c>
      <c r="S47" t="str" cm="1">
        <f t="array" ref="S47">_xlfn.IFS(L47=$L$2,"he is an "&amp;$L$2&amp;"customer",L47=$L$3,"he is an"&amp;$L$3&amp;"customer",L47=$L$4,"he is an" &amp;$L$4&amp;"customer")</f>
        <v>he is anPremiumcustomer</v>
      </c>
    </row>
    <row r="48" spans="1:19" x14ac:dyDescent="0.25">
      <c r="A48" s="2" t="s">
        <v>161</v>
      </c>
      <c r="B48" s="5">
        <v>45452</v>
      </c>
      <c r="C48" s="2" t="s">
        <v>162</v>
      </c>
      <c r="D48" s="8" t="s">
        <v>163</v>
      </c>
      <c r="E48" s="2" t="s">
        <v>31</v>
      </c>
      <c r="F48" s="2" t="s">
        <v>32</v>
      </c>
      <c r="G48" s="2" t="s">
        <v>33</v>
      </c>
      <c r="H48" s="14">
        <v>4</v>
      </c>
      <c r="I48" s="11">
        <v>59.99</v>
      </c>
      <c r="J48" s="2" t="s">
        <v>20</v>
      </c>
      <c r="K48" s="2" t="s">
        <v>63</v>
      </c>
      <c r="L48" s="2" t="s">
        <v>36</v>
      </c>
      <c r="M48" s="3">
        <v>44435</v>
      </c>
      <c r="N48" s="11">
        <v>239.96</v>
      </c>
      <c r="O48" s="8" t="s">
        <v>163</v>
      </c>
      <c r="P48" t="str">
        <f t="shared" si="0"/>
        <v>Appliances</v>
      </c>
      <c r="Q48">
        <f>INDEX(D47:N297,MATCH(O48,D48:$D$251,0),11)</f>
        <v>299.98</v>
      </c>
      <c r="R48" t="str">
        <f t="shared" si="1"/>
        <v>your customer is not Premium customer</v>
      </c>
      <c r="S48" t="str" cm="1">
        <f t="array" ref="S48">_xlfn.IFS(L48=$L$2,"he is an "&amp;$L$2&amp;"customer",L48=$L$3,"he is an"&amp;$L$3&amp;"customer",L48=$L$4,"he is an" &amp;$L$4&amp;"customer")</f>
        <v>he is anStandardcustomer</v>
      </c>
    </row>
    <row r="49" spans="1:19" x14ac:dyDescent="0.25">
      <c r="A49" s="2" t="s">
        <v>164</v>
      </c>
      <c r="B49" s="5">
        <v>45456</v>
      </c>
      <c r="C49" s="2" t="s">
        <v>129</v>
      </c>
      <c r="D49" s="8" t="s">
        <v>130</v>
      </c>
      <c r="E49" s="2" t="s">
        <v>117</v>
      </c>
      <c r="F49" s="2" t="s">
        <v>118</v>
      </c>
      <c r="G49" s="2" t="s">
        <v>19</v>
      </c>
      <c r="H49" s="14">
        <v>5</v>
      </c>
      <c r="I49" s="11">
        <v>89.99</v>
      </c>
      <c r="J49" s="2" t="s">
        <v>20</v>
      </c>
      <c r="K49" s="2" t="s">
        <v>21</v>
      </c>
      <c r="L49" s="2" t="s">
        <v>27</v>
      </c>
      <c r="M49" s="3">
        <v>44579</v>
      </c>
      <c r="N49" s="11">
        <v>449.95</v>
      </c>
      <c r="O49" s="8" t="s">
        <v>130</v>
      </c>
      <c r="P49" t="str">
        <f t="shared" si="0"/>
        <v>Electronics</v>
      </c>
      <c r="Q49">
        <f>INDEX(D48:N298,MATCH(O49,D49:$D$251,0),11)</f>
        <v>239.96</v>
      </c>
      <c r="R49" t="str">
        <f t="shared" si="1"/>
        <v>Premium</v>
      </c>
      <c r="S49" t="str" cm="1">
        <f t="array" ref="S49">_xlfn.IFS(L49=$L$2,"he is an "&amp;$L$2&amp;"customer",L49=$L$3,"he is an"&amp;$L$3&amp;"customer",L49=$L$4,"he is an" &amp;$L$4&amp;"customer")</f>
        <v>he is anPremiumcustomer</v>
      </c>
    </row>
    <row r="50" spans="1:19" x14ac:dyDescent="0.25">
      <c r="A50" s="2" t="s">
        <v>165</v>
      </c>
      <c r="B50" s="5">
        <v>45459</v>
      </c>
      <c r="C50" s="2" t="s">
        <v>99</v>
      </c>
      <c r="D50" s="8" t="s">
        <v>100</v>
      </c>
      <c r="E50" s="2" t="s">
        <v>117</v>
      </c>
      <c r="F50" s="2" t="s">
        <v>118</v>
      </c>
      <c r="G50" s="2" t="s">
        <v>19</v>
      </c>
      <c r="H50" s="14">
        <v>2</v>
      </c>
      <c r="I50" s="11">
        <v>89.99</v>
      </c>
      <c r="J50" s="2" t="s">
        <v>26</v>
      </c>
      <c r="K50" s="2" t="s">
        <v>35</v>
      </c>
      <c r="L50" s="2" t="s">
        <v>27</v>
      </c>
      <c r="M50" s="3">
        <v>44471</v>
      </c>
      <c r="N50" s="11">
        <v>179.98</v>
      </c>
      <c r="O50" s="8" t="s">
        <v>100</v>
      </c>
      <c r="P50" t="str">
        <f t="shared" si="0"/>
        <v>Electronics</v>
      </c>
      <c r="Q50">
        <f>INDEX(D49:N299,MATCH(O50,D50:$D$251,0),11)</f>
        <v>449.95</v>
      </c>
      <c r="R50" t="str">
        <f t="shared" si="1"/>
        <v>Premium</v>
      </c>
      <c r="S50" t="str" cm="1">
        <f t="array" ref="S50">_xlfn.IFS(L50=$L$2,"he is an "&amp;$L$2&amp;"customer",L50=$L$3,"he is an"&amp;$L$3&amp;"customer",L50=$L$4,"he is an" &amp;$L$4&amp;"customer")</f>
        <v>he is anPremiumcustomer</v>
      </c>
    </row>
    <row r="51" spans="1:19" x14ac:dyDescent="0.25">
      <c r="A51" s="2" t="s">
        <v>166</v>
      </c>
      <c r="B51" s="5">
        <v>45459</v>
      </c>
      <c r="C51" s="2" t="s">
        <v>15</v>
      </c>
      <c r="D51" s="8" t="s">
        <v>16</v>
      </c>
      <c r="E51" s="2" t="s">
        <v>61</v>
      </c>
      <c r="F51" s="2" t="s">
        <v>62</v>
      </c>
      <c r="G51" s="2" t="s">
        <v>19</v>
      </c>
      <c r="H51" s="14">
        <v>5</v>
      </c>
      <c r="I51" s="11">
        <v>899.99</v>
      </c>
      <c r="J51" s="2" t="s">
        <v>26</v>
      </c>
      <c r="K51" s="2" t="s">
        <v>35</v>
      </c>
      <c r="L51" s="2" t="s">
        <v>36</v>
      </c>
      <c r="M51" s="3">
        <v>44974</v>
      </c>
      <c r="N51" s="11">
        <v>4499.95</v>
      </c>
      <c r="O51" s="8" t="s">
        <v>16</v>
      </c>
      <c r="P51" t="str">
        <f t="shared" si="0"/>
        <v>Electronics</v>
      </c>
      <c r="Q51">
        <f>INDEX(D50:N300,MATCH(O51,D51:$D$251,0),11)</f>
        <v>179.98</v>
      </c>
      <c r="R51" t="str">
        <f t="shared" si="1"/>
        <v>your customer is not Premium customer</v>
      </c>
      <c r="S51" t="str" cm="1">
        <f t="array" ref="S51">_xlfn.IFS(L51=$L$2,"he is an "&amp;$L$2&amp;"customer",L51=$L$3,"he is an"&amp;$L$3&amp;"customer",L51=$L$4,"he is an" &amp;$L$4&amp;"customer")</f>
        <v>he is anStandardcustomer</v>
      </c>
    </row>
    <row r="52" spans="1:19" x14ac:dyDescent="0.25">
      <c r="A52" s="2" t="s">
        <v>167</v>
      </c>
      <c r="B52" s="5">
        <v>45459</v>
      </c>
      <c r="C52" s="2" t="s">
        <v>123</v>
      </c>
      <c r="D52" s="8" t="s">
        <v>124</v>
      </c>
      <c r="E52" s="2" t="s">
        <v>61</v>
      </c>
      <c r="F52" s="2" t="s">
        <v>62</v>
      </c>
      <c r="G52" s="2" t="s">
        <v>19</v>
      </c>
      <c r="H52" s="14">
        <v>5</v>
      </c>
      <c r="I52" s="11">
        <v>899.99</v>
      </c>
      <c r="J52" s="2" t="s">
        <v>34</v>
      </c>
      <c r="K52" s="2" t="s">
        <v>63</v>
      </c>
      <c r="L52" s="2" t="s">
        <v>27</v>
      </c>
      <c r="M52" s="3">
        <v>45278</v>
      </c>
      <c r="N52" s="11">
        <v>4499.95</v>
      </c>
      <c r="O52" s="8" t="s">
        <v>124</v>
      </c>
      <c r="P52" t="str">
        <f t="shared" si="0"/>
        <v>Electronics</v>
      </c>
      <c r="Q52">
        <f>INDEX(D51:N301,MATCH(O52,D52:$D$251,0),11)</f>
        <v>4499.95</v>
      </c>
      <c r="R52" t="str">
        <f t="shared" si="1"/>
        <v>Premium</v>
      </c>
      <c r="S52" t="str" cm="1">
        <f t="array" ref="S52">_xlfn.IFS(L52=$L$2,"he is an "&amp;$L$2&amp;"customer",L52=$L$3,"he is an"&amp;$L$3&amp;"customer",L52=$L$4,"he is an" &amp;$L$4&amp;"customer")</f>
        <v>he is anPremiumcustomer</v>
      </c>
    </row>
    <row r="53" spans="1:19" x14ac:dyDescent="0.25">
      <c r="A53" s="2" t="s">
        <v>168</v>
      </c>
      <c r="B53" s="5">
        <v>45460</v>
      </c>
      <c r="C53" s="2" t="s">
        <v>158</v>
      </c>
      <c r="D53" s="8" t="s">
        <v>159</v>
      </c>
      <c r="E53" s="2" t="s">
        <v>31</v>
      </c>
      <c r="F53" s="2" t="s">
        <v>32</v>
      </c>
      <c r="G53" s="2" t="s">
        <v>33</v>
      </c>
      <c r="H53" s="14">
        <v>1</v>
      </c>
      <c r="I53" s="11">
        <v>59.99</v>
      </c>
      <c r="J53" s="2" t="s">
        <v>57</v>
      </c>
      <c r="K53" s="2" t="s">
        <v>50</v>
      </c>
      <c r="L53" s="2" t="s">
        <v>27</v>
      </c>
      <c r="M53" s="3">
        <v>45190</v>
      </c>
      <c r="N53" s="11">
        <v>59.99</v>
      </c>
      <c r="O53" s="8" t="s">
        <v>159</v>
      </c>
      <c r="P53" t="str">
        <f t="shared" si="0"/>
        <v>Appliances</v>
      </c>
      <c r="Q53">
        <f>INDEX(D52:N302,MATCH(O53,D53:$D$251,0),11)</f>
        <v>4499.95</v>
      </c>
      <c r="R53" t="str">
        <f t="shared" si="1"/>
        <v>Premium</v>
      </c>
      <c r="S53" t="str" cm="1">
        <f t="array" ref="S53">_xlfn.IFS(L53=$L$2,"he is an "&amp;$L$2&amp;"customer",L53=$L$3,"he is an"&amp;$L$3&amp;"customer",L53=$L$4,"he is an" &amp;$L$4&amp;"customer")</f>
        <v>he is anPremiumcustomer</v>
      </c>
    </row>
    <row r="54" spans="1:19" x14ac:dyDescent="0.25">
      <c r="A54" s="2" t="s">
        <v>169</v>
      </c>
      <c r="B54" s="5">
        <v>45460</v>
      </c>
      <c r="C54" s="2" t="s">
        <v>141</v>
      </c>
      <c r="D54" s="8" t="s">
        <v>142</v>
      </c>
      <c r="E54" s="2" t="s">
        <v>105</v>
      </c>
      <c r="F54" s="2" t="s">
        <v>106</v>
      </c>
      <c r="G54" s="2" t="s">
        <v>46</v>
      </c>
      <c r="H54" s="14">
        <v>2</v>
      </c>
      <c r="I54" s="11">
        <v>299.99</v>
      </c>
      <c r="J54" s="2" t="s">
        <v>57</v>
      </c>
      <c r="K54" s="2" t="s">
        <v>63</v>
      </c>
      <c r="L54" s="2" t="s">
        <v>36</v>
      </c>
      <c r="M54" s="3">
        <v>45253</v>
      </c>
      <c r="N54" s="11">
        <v>599.98</v>
      </c>
      <c r="O54" s="8" t="s">
        <v>142</v>
      </c>
      <c r="P54" t="str">
        <f t="shared" si="0"/>
        <v>Furniture</v>
      </c>
      <c r="Q54">
        <f>INDEX(D53:N303,MATCH(O54,D54:$D$251,0),11)</f>
        <v>59.99</v>
      </c>
      <c r="R54" t="str">
        <f t="shared" si="1"/>
        <v>your customer is not Premium customer</v>
      </c>
      <c r="S54" t="str" cm="1">
        <f t="array" ref="S54">_xlfn.IFS(L54=$L$2,"he is an "&amp;$L$2&amp;"customer",L54=$L$3,"he is an"&amp;$L$3&amp;"customer",L54=$L$4,"he is an" &amp;$L$4&amp;"customer")</f>
        <v>he is anStandardcustomer</v>
      </c>
    </row>
    <row r="55" spans="1:19" x14ac:dyDescent="0.25">
      <c r="A55" s="2" t="s">
        <v>170</v>
      </c>
      <c r="B55" s="5">
        <v>45468</v>
      </c>
      <c r="C55" s="2" t="s">
        <v>171</v>
      </c>
      <c r="D55" s="8" t="s">
        <v>172</v>
      </c>
      <c r="E55" s="2" t="s">
        <v>117</v>
      </c>
      <c r="F55" s="2" t="s">
        <v>118</v>
      </c>
      <c r="G55" s="2" t="s">
        <v>19</v>
      </c>
      <c r="H55" s="14">
        <v>4</v>
      </c>
      <c r="I55" s="11">
        <v>89.99</v>
      </c>
      <c r="J55" s="2" t="s">
        <v>57</v>
      </c>
      <c r="K55" s="2" t="s">
        <v>35</v>
      </c>
      <c r="L55" s="2" t="s">
        <v>22</v>
      </c>
      <c r="M55" s="3">
        <v>45281</v>
      </c>
      <c r="N55" s="11">
        <v>359.96</v>
      </c>
      <c r="O55" s="8" t="s">
        <v>172</v>
      </c>
      <c r="P55" t="str">
        <f t="shared" si="0"/>
        <v>Electronics</v>
      </c>
      <c r="Q55">
        <f>INDEX(D54:N304,MATCH(O55,D55:$D$251,0),11)</f>
        <v>599.98</v>
      </c>
      <c r="R55" t="str">
        <f t="shared" si="1"/>
        <v>your customer is not Premium customer</v>
      </c>
      <c r="S55" t="str" cm="1">
        <f t="array" ref="S55">_xlfn.IFS(L55=$L$2,"he is an "&amp;$L$2&amp;"customer",L55=$L$3,"he is an"&amp;$L$3&amp;"customer",L55=$L$4,"he is an" &amp;$L$4&amp;"customer")</f>
        <v>he is an Basiccustomer</v>
      </c>
    </row>
    <row r="56" spans="1:19" x14ac:dyDescent="0.25">
      <c r="A56" s="2" t="s">
        <v>173</v>
      </c>
      <c r="B56" s="5">
        <v>45469</v>
      </c>
      <c r="C56" s="2" t="s">
        <v>29</v>
      </c>
      <c r="D56" s="8" t="s">
        <v>30</v>
      </c>
      <c r="E56" s="2" t="s">
        <v>114</v>
      </c>
      <c r="F56" s="2" t="s">
        <v>115</v>
      </c>
      <c r="G56" s="2" t="s">
        <v>33</v>
      </c>
      <c r="H56" s="14">
        <v>1</v>
      </c>
      <c r="I56" s="11">
        <v>79.989999999999995</v>
      </c>
      <c r="J56" s="2" t="s">
        <v>34</v>
      </c>
      <c r="K56" s="2" t="s">
        <v>21</v>
      </c>
      <c r="L56" s="2" t="s">
        <v>27</v>
      </c>
      <c r="M56" s="3">
        <v>45352</v>
      </c>
      <c r="N56" s="11">
        <v>79.989999999999995</v>
      </c>
      <c r="O56" s="8" t="s">
        <v>30</v>
      </c>
      <c r="P56" t="str">
        <f t="shared" si="0"/>
        <v>Appliances</v>
      </c>
      <c r="Q56">
        <f>INDEX(D55:N305,MATCH(O56,D56:$D$251,0),11)</f>
        <v>359.96</v>
      </c>
      <c r="R56" t="str">
        <f t="shared" si="1"/>
        <v>Premium</v>
      </c>
      <c r="S56" t="str" cm="1">
        <f t="array" ref="S56">_xlfn.IFS(L56=$L$2,"he is an "&amp;$L$2&amp;"customer",L56=$L$3,"he is an"&amp;$L$3&amp;"customer",L56=$L$4,"he is an" &amp;$L$4&amp;"customer")</f>
        <v>he is anPremiumcustomer</v>
      </c>
    </row>
    <row r="57" spans="1:19" x14ac:dyDescent="0.25">
      <c r="A57" s="2" t="s">
        <v>174</v>
      </c>
      <c r="B57" s="5">
        <v>45469</v>
      </c>
      <c r="C57" s="2" t="s">
        <v>59</v>
      </c>
      <c r="D57" s="8" t="s">
        <v>60</v>
      </c>
      <c r="E57" s="2" t="s">
        <v>117</v>
      </c>
      <c r="F57" s="2" t="s">
        <v>118</v>
      </c>
      <c r="G57" s="2" t="s">
        <v>19</v>
      </c>
      <c r="H57" s="14">
        <v>2</v>
      </c>
      <c r="I57" s="11">
        <v>89.99</v>
      </c>
      <c r="J57" s="2" t="s">
        <v>20</v>
      </c>
      <c r="K57" s="2" t="s">
        <v>50</v>
      </c>
      <c r="L57" s="2" t="s">
        <v>22</v>
      </c>
      <c r="M57" s="3">
        <v>44438</v>
      </c>
      <c r="N57" s="11">
        <v>179.98</v>
      </c>
      <c r="O57" s="8" t="s">
        <v>60</v>
      </c>
      <c r="P57" t="str">
        <f t="shared" si="0"/>
        <v>Electronics</v>
      </c>
      <c r="Q57">
        <f>INDEX(D56:N306,MATCH(O57,D57:$D$251,0),11)</f>
        <v>79.989999999999995</v>
      </c>
      <c r="R57" t="str">
        <f t="shared" si="1"/>
        <v>your customer is not Premium customer</v>
      </c>
      <c r="S57" t="str" cm="1">
        <f t="array" ref="S57">_xlfn.IFS(L57=$L$2,"he is an "&amp;$L$2&amp;"customer",L57=$L$3,"he is an"&amp;$L$3&amp;"customer",L57=$L$4,"he is an" &amp;$L$4&amp;"customer")</f>
        <v>he is an Basiccustomer</v>
      </c>
    </row>
    <row r="58" spans="1:19" x14ac:dyDescent="0.25">
      <c r="A58" s="2" t="s">
        <v>175</v>
      </c>
      <c r="B58" s="5">
        <v>45471</v>
      </c>
      <c r="C58" s="2" t="s">
        <v>38</v>
      </c>
      <c r="D58" s="8" t="s">
        <v>39</v>
      </c>
      <c r="E58" s="2" t="s">
        <v>80</v>
      </c>
      <c r="F58" s="2" t="s">
        <v>81</v>
      </c>
      <c r="G58" s="2" t="s">
        <v>19</v>
      </c>
      <c r="H58" s="14">
        <v>3</v>
      </c>
      <c r="I58" s="11">
        <v>699.99</v>
      </c>
      <c r="J58" s="2" t="s">
        <v>26</v>
      </c>
      <c r="K58" s="2" t="s">
        <v>63</v>
      </c>
      <c r="L58" s="2" t="s">
        <v>27</v>
      </c>
      <c r="M58" s="3">
        <v>45102</v>
      </c>
      <c r="N58" s="11">
        <v>2099.9699999999998</v>
      </c>
      <c r="O58" s="8" t="s">
        <v>39</v>
      </c>
      <c r="P58" t="str">
        <f t="shared" si="0"/>
        <v>Electronics</v>
      </c>
      <c r="Q58">
        <f>INDEX(D57:N307,MATCH(O58,D58:$D$251,0),11)</f>
        <v>179.98</v>
      </c>
      <c r="R58" t="str">
        <f t="shared" si="1"/>
        <v>Premium</v>
      </c>
      <c r="S58" t="str" cm="1">
        <f t="array" ref="S58">_xlfn.IFS(L58=$L$2,"he is an "&amp;$L$2&amp;"customer",L58=$L$3,"he is an"&amp;$L$3&amp;"customer",L58=$L$4,"he is an" &amp;$L$4&amp;"customer")</f>
        <v>he is anPremiumcustomer</v>
      </c>
    </row>
    <row r="59" spans="1:19" x14ac:dyDescent="0.25">
      <c r="A59" s="2" t="s">
        <v>176</v>
      </c>
      <c r="B59" s="5">
        <v>45471</v>
      </c>
      <c r="C59" s="2" t="s">
        <v>99</v>
      </c>
      <c r="D59" s="8" t="s">
        <v>100</v>
      </c>
      <c r="E59" s="2" t="s">
        <v>61</v>
      </c>
      <c r="F59" s="2" t="s">
        <v>62</v>
      </c>
      <c r="G59" s="2" t="s">
        <v>19</v>
      </c>
      <c r="H59" s="14">
        <v>4</v>
      </c>
      <c r="I59" s="11">
        <v>899.99</v>
      </c>
      <c r="J59" s="2" t="s">
        <v>26</v>
      </c>
      <c r="K59" s="2" t="s">
        <v>63</v>
      </c>
      <c r="L59" s="2" t="s">
        <v>27</v>
      </c>
      <c r="M59" s="3">
        <v>44993</v>
      </c>
      <c r="N59" s="11">
        <v>3599.96</v>
      </c>
      <c r="O59" s="8" t="s">
        <v>100</v>
      </c>
      <c r="P59" t="str">
        <f t="shared" si="0"/>
        <v>Electronics</v>
      </c>
      <c r="Q59">
        <f>INDEX(D58:N308,MATCH(O59,D59:$D$251,0),11)</f>
        <v>2099.9699999999998</v>
      </c>
      <c r="R59" t="str">
        <f t="shared" si="1"/>
        <v>Premium</v>
      </c>
      <c r="S59" t="str" cm="1">
        <f t="array" ref="S59">_xlfn.IFS(L59=$L$2,"he is an "&amp;$L$2&amp;"customer",L59=$L$3,"he is an"&amp;$L$3&amp;"customer",L59=$L$4,"he is an" &amp;$L$4&amp;"customer")</f>
        <v>he is anPremiumcustomer</v>
      </c>
    </row>
    <row r="60" spans="1:19" x14ac:dyDescent="0.25">
      <c r="A60" s="2" t="s">
        <v>177</v>
      </c>
      <c r="B60" s="5">
        <v>45472</v>
      </c>
      <c r="C60" s="2" t="s">
        <v>120</v>
      </c>
      <c r="D60" s="8" t="s">
        <v>121</v>
      </c>
      <c r="E60" s="2" t="s">
        <v>44</v>
      </c>
      <c r="F60" s="2" t="s">
        <v>45</v>
      </c>
      <c r="G60" s="2" t="s">
        <v>46</v>
      </c>
      <c r="H60" s="14">
        <v>1</v>
      </c>
      <c r="I60" s="11">
        <v>149.99</v>
      </c>
      <c r="J60" s="2" t="s">
        <v>34</v>
      </c>
      <c r="K60" s="2" t="s">
        <v>63</v>
      </c>
      <c r="L60" s="2" t="s">
        <v>22</v>
      </c>
      <c r="M60" s="3">
        <v>44851</v>
      </c>
      <c r="N60" s="11">
        <v>149.99</v>
      </c>
      <c r="O60" s="8" t="s">
        <v>121</v>
      </c>
      <c r="P60" t="str">
        <f t="shared" si="0"/>
        <v>Furniture</v>
      </c>
      <c r="Q60">
        <f>INDEX(D59:N309,MATCH(O60,D60:$D$251,0),11)</f>
        <v>3599.96</v>
      </c>
      <c r="R60" t="str">
        <f t="shared" si="1"/>
        <v>your customer is not Premium customer</v>
      </c>
      <c r="S60" t="str" cm="1">
        <f t="array" ref="S60">_xlfn.IFS(L60=$L$2,"he is an "&amp;$L$2&amp;"customer",L60=$L$3,"he is an"&amp;$L$3&amp;"customer",L60=$L$4,"he is an" &amp;$L$4&amp;"customer")</f>
        <v>he is an Basiccustomer</v>
      </c>
    </row>
    <row r="61" spans="1:19" x14ac:dyDescent="0.25">
      <c r="A61" s="2" t="s">
        <v>178</v>
      </c>
      <c r="B61" s="5">
        <v>45474</v>
      </c>
      <c r="C61" s="2" t="s">
        <v>132</v>
      </c>
      <c r="D61" s="8" t="s">
        <v>133</v>
      </c>
      <c r="E61" s="2" t="s">
        <v>117</v>
      </c>
      <c r="F61" s="2" t="s">
        <v>118</v>
      </c>
      <c r="G61" s="2" t="s">
        <v>19</v>
      </c>
      <c r="H61" s="14">
        <v>2</v>
      </c>
      <c r="I61" s="11">
        <v>89.99</v>
      </c>
      <c r="J61" s="2" t="s">
        <v>34</v>
      </c>
      <c r="K61" s="2" t="s">
        <v>21</v>
      </c>
      <c r="L61" s="2" t="s">
        <v>27</v>
      </c>
      <c r="M61" s="3">
        <v>45275</v>
      </c>
      <c r="N61" s="11">
        <v>179.98</v>
      </c>
      <c r="O61" s="8" t="s">
        <v>133</v>
      </c>
      <c r="P61" t="str">
        <f t="shared" si="0"/>
        <v>Electronics</v>
      </c>
      <c r="Q61">
        <f>INDEX(D60:N310,MATCH(O61,D61:$D$251,0),11)</f>
        <v>149.99</v>
      </c>
      <c r="R61" t="str">
        <f t="shared" si="1"/>
        <v>Premium</v>
      </c>
      <c r="S61" t="str" cm="1">
        <f t="array" ref="S61">_xlfn.IFS(L61=$L$2,"he is an "&amp;$L$2&amp;"customer",L61=$L$3,"he is an"&amp;$L$3&amp;"customer",L61=$L$4,"he is an" &amp;$L$4&amp;"customer")</f>
        <v>he is anPremiumcustomer</v>
      </c>
    </row>
    <row r="62" spans="1:19" x14ac:dyDescent="0.25">
      <c r="A62" s="2" t="s">
        <v>179</v>
      </c>
      <c r="B62" s="5">
        <v>45475</v>
      </c>
      <c r="C62" s="2" t="s">
        <v>55</v>
      </c>
      <c r="D62" s="8" t="s">
        <v>56</v>
      </c>
      <c r="E62" s="2" t="s">
        <v>117</v>
      </c>
      <c r="F62" s="2" t="s">
        <v>118</v>
      </c>
      <c r="G62" s="2" t="s">
        <v>19</v>
      </c>
      <c r="H62" s="14">
        <v>1</v>
      </c>
      <c r="I62" s="11">
        <v>89.99</v>
      </c>
      <c r="J62" s="2" t="s">
        <v>34</v>
      </c>
      <c r="K62" s="2" t="s">
        <v>50</v>
      </c>
      <c r="L62" s="2" t="s">
        <v>36</v>
      </c>
      <c r="M62" s="3">
        <v>44802</v>
      </c>
      <c r="N62" s="11">
        <v>89.99</v>
      </c>
      <c r="O62" s="8" t="s">
        <v>56</v>
      </c>
      <c r="P62" t="str">
        <f t="shared" si="0"/>
        <v>Electronics</v>
      </c>
      <c r="Q62">
        <f>INDEX(D61:N311,MATCH(O62,D62:$D$251,0),11)</f>
        <v>179.98</v>
      </c>
      <c r="R62" t="str">
        <f t="shared" si="1"/>
        <v>your customer is not Premium customer</v>
      </c>
      <c r="S62" t="str" cm="1">
        <f t="array" ref="S62">_xlfn.IFS(L62=$L$2,"he is an "&amp;$L$2&amp;"customer",L62=$L$3,"he is an"&amp;$L$3&amp;"customer",L62=$L$4,"he is an" &amp;$L$4&amp;"customer")</f>
        <v>he is anStandardcustomer</v>
      </c>
    </row>
    <row r="63" spans="1:19" x14ac:dyDescent="0.25">
      <c r="A63" s="2" t="s">
        <v>180</v>
      </c>
      <c r="B63" s="5">
        <v>45476</v>
      </c>
      <c r="C63" s="2" t="s">
        <v>68</v>
      </c>
      <c r="D63" s="8" t="s">
        <v>69</v>
      </c>
      <c r="E63" s="2" t="s">
        <v>117</v>
      </c>
      <c r="F63" s="2" t="s">
        <v>118</v>
      </c>
      <c r="G63" s="2" t="s">
        <v>19</v>
      </c>
      <c r="H63" s="14">
        <v>1</v>
      </c>
      <c r="I63" s="11">
        <v>89.99</v>
      </c>
      <c r="J63" s="2" t="s">
        <v>20</v>
      </c>
      <c r="K63" s="2" t="s">
        <v>35</v>
      </c>
      <c r="L63" s="2" t="s">
        <v>36</v>
      </c>
      <c r="M63" s="3">
        <v>44611</v>
      </c>
      <c r="N63" s="11">
        <v>89.99</v>
      </c>
      <c r="O63" s="8" t="s">
        <v>69</v>
      </c>
      <c r="P63" t="str">
        <f t="shared" si="0"/>
        <v>Electronics</v>
      </c>
      <c r="Q63">
        <f>INDEX(D62:N312,MATCH(O63,D63:$D$251,0),11)</f>
        <v>89.99</v>
      </c>
      <c r="R63" t="str">
        <f t="shared" si="1"/>
        <v>your customer is not Premium customer</v>
      </c>
      <c r="S63" t="str" cm="1">
        <f t="array" ref="S63">_xlfn.IFS(L63=$L$2,"he is an "&amp;$L$2&amp;"customer",L63=$L$3,"he is an"&amp;$L$3&amp;"customer",L63=$L$4,"he is an" &amp;$L$4&amp;"customer")</f>
        <v>he is anStandardcustomer</v>
      </c>
    </row>
    <row r="64" spans="1:19" x14ac:dyDescent="0.25">
      <c r="A64" s="2" t="s">
        <v>181</v>
      </c>
      <c r="B64" s="5">
        <v>45476</v>
      </c>
      <c r="C64" s="2" t="s">
        <v>182</v>
      </c>
      <c r="D64" s="8" t="s">
        <v>183</v>
      </c>
      <c r="E64" s="2" t="s">
        <v>114</v>
      </c>
      <c r="F64" s="2" t="s">
        <v>115</v>
      </c>
      <c r="G64" s="2" t="s">
        <v>33</v>
      </c>
      <c r="H64" s="14">
        <v>5</v>
      </c>
      <c r="I64" s="11">
        <v>79.989999999999995</v>
      </c>
      <c r="J64" s="2" t="s">
        <v>57</v>
      </c>
      <c r="K64" s="2" t="s">
        <v>21</v>
      </c>
      <c r="L64" s="2" t="s">
        <v>22</v>
      </c>
      <c r="M64" s="3">
        <v>44981</v>
      </c>
      <c r="N64" s="11">
        <v>399.95</v>
      </c>
      <c r="O64" s="8" t="s">
        <v>183</v>
      </c>
      <c r="P64" t="str">
        <f t="shared" si="0"/>
        <v>Appliances</v>
      </c>
      <c r="Q64">
        <f>INDEX(D63:N313,MATCH(O64,D64:$D$251,0),11)</f>
        <v>89.99</v>
      </c>
      <c r="R64" t="str">
        <f t="shared" si="1"/>
        <v>your customer is not Premium customer</v>
      </c>
      <c r="S64" t="str" cm="1">
        <f t="array" ref="S64">_xlfn.IFS(L64=$L$2,"he is an "&amp;$L$2&amp;"customer",L64=$L$3,"he is an"&amp;$L$3&amp;"customer",L64=$L$4,"he is an" &amp;$L$4&amp;"customer")</f>
        <v>he is an Basiccustomer</v>
      </c>
    </row>
    <row r="65" spans="1:19" x14ac:dyDescent="0.25">
      <c r="A65" s="2" t="s">
        <v>184</v>
      </c>
      <c r="B65" s="5">
        <v>45481</v>
      </c>
      <c r="C65" s="2" t="s">
        <v>185</v>
      </c>
      <c r="D65" s="8" t="s">
        <v>186</v>
      </c>
      <c r="E65" s="2" t="s">
        <v>44</v>
      </c>
      <c r="F65" s="2" t="s">
        <v>45</v>
      </c>
      <c r="G65" s="2" t="s">
        <v>46</v>
      </c>
      <c r="H65" s="14">
        <v>1</v>
      </c>
      <c r="I65" s="11">
        <v>149.99</v>
      </c>
      <c r="J65" s="2" t="s">
        <v>34</v>
      </c>
      <c r="K65" s="2" t="s">
        <v>40</v>
      </c>
      <c r="L65" s="2" t="s">
        <v>22</v>
      </c>
      <c r="M65" s="3">
        <v>44421</v>
      </c>
      <c r="N65" s="11">
        <v>149.99</v>
      </c>
      <c r="O65" s="8" t="s">
        <v>186</v>
      </c>
      <c r="P65" t="str">
        <f t="shared" si="0"/>
        <v>Furniture</v>
      </c>
      <c r="Q65">
        <f>INDEX(D64:N314,MATCH(O65,D65:$D$251,0),11)</f>
        <v>399.95</v>
      </c>
      <c r="R65" t="str">
        <f t="shared" si="1"/>
        <v>your customer is not Premium customer</v>
      </c>
      <c r="S65" t="str" cm="1">
        <f t="array" ref="S65">_xlfn.IFS(L65=$L$2,"he is an "&amp;$L$2&amp;"customer",L65=$L$3,"he is an"&amp;$L$3&amp;"customer",L65=$L$4,"he is an" &amp;$L$4&amp;"customer")</f>
        <v>he is an Basiccustomer</v>
      </c>
    </row>
    <row r="66" spans="1:19" x14ac:dyDescent="0.25">
      <c r="A66" s="2" t="s">
        <v>187</v>
      </c>
      <c r="B66" s="5">
        <v>45481</v>
      </c>
      <c r="C66" s="2" t="s">
        <v>42</v>
      </c>
      <c r="D66" s="8" t="s">
        <v>43</v>
      </c>
      <c r="E66" s="2" t="s">
        <v>80</v>
      </c>
      <c r="F66" s="2" t="s">
        <v>81</v>
      </c>
      <c r="G66" s="2" t="s">
        <v>19</v>
      </c>
      <c r="H66" s="14">
        <v>2</v>
      </c>
      <c r="I66" s="11">
        <v>699.99</v>
      </c>
      <c r="J66" s="2" t="s">
        <v>34</v>
      </c>
      <c r="K66" s="2" t="s">
        <v>63</v>
      </c>
      <c r="L66" s="2" t="s">
        <v>27</v>
      </c>
      <c r="M66" s="3">
        <v>45389</v>
      </c>
      <c r="N66" s="11">
        <v>1399.98</v>
      </c>
      <c r="O66" s="8" t="s">
        <v>43</v>
      </c>
      <c r="P66" t="str">
        <f t="shared" si="0"/>
        <v>Electronics</v>
      </c>
      <c r="Q66">
        <f>INDEX(D65:N315,MATCH(O66,D66:$D$251,0),11)</f>
        <v>149.99</v>
      </c>
      <c r="R66" t="str">
        <f t="shared" si="1"/>
        <v>Premium</v>
      </c>
      <c r="S66" t="str" cm="1">
        <f t="array" ref="S66">_xlfn.IFS(L66=$L$2,"he is an "&amp;$L$2&amp;"customer",L66=$L$3,"he is an"&amp;$L$3&amp;"customer",L66=$L$4,"he is an" &amp;$L$4&amp;"customer")</f>
        <v>he is anPremiumcustomer</v>
      </c>
    </row>
    <row r="67" spans="1:19" x14ac:dyDescent="0.25">
      <c r="A67" s="2" t="s">
        <v>188</v>
      </c>
      <c r="B67" s="5">
        <v>45481</v>
      </c>
      <c r="C67" s="2" t="s">
        <v>96</v>
      </c>
      <c r="D67" s="8" t="s">
        <v>97</v>
      </c>
      <c r="E67" s="2" t="s">
        <v>117</v>
      </c>
      <c r="F67" s="2" t="s">
        <v>118</v>
      </c>
      <c r="G67" s="2" t="s">
        <v>19</v>
      </c>
      <c r="H67" s="14">
        <v>5</v>
      </c>
      <c r="I67" s="11">
        <v>89.99</v>
      </c>
      <c r="J67" s="2" t="s">
        <v>57</v>
      </c>
      <c r="K67" s="2" t="s">
        <v>40</v>
      </c>
      <c r="L67" s="2" t="s">
        <v>27</v>
      </c>
      <c r="M67" s="3">
        <v>45161</v>
      </c>
      <c r="N67" s="11">
        <v>449.95</v>
      </c>
      <c r="O67" s="8" t="s">
        <v>97</v>
      </c>
      <c r="P67" t="str">
        <f t="shared" ref="P67:P130" si="2">VLOOKUP(O67,D66:N316,4,0)</f>
        <v>Electronics</v>
      </c>
      <c r="Q67">
        <f>INDEX(D66:N316,MATCH(O67,D67:$D$251,0),11)</f>
        <v>1399.98</v>
      </c>
      <c r="R67" t="str">
        <f t="shared" ref="R67:R130" si="3">IF(L67=$L$3,$L$3,"your customer is not "&amp;$L$3&amp;" customer")</f>
        <v>Premium</v>
      </c>
      <c r="S67" t="str" cm="1">
        <f t="array" ref="S67">_xlfn.IFS(L67=$L$2,"he is an "&amp;$L$2&amp;"customer",L67=$L$3,"he is an"&amp;$L$3&amp;"customer",L67=$L$4,"he is an" &amp;$L$4&amp;"customer")</f>
        <v>he is anPremiumcustomer</v>
      </c>
    </row>
    <row r="68" spans="1:19" x14ac:dyDescent="0.25">
      <c r="A68" s="2" t="s">
        <v>189</v>
      </c>
      <c r="B68" s="5">
        <v>45482</v>
      </c>
      <c r="C68" s="2" t="s">
        <v>171</v>
      </c>
      <c r="D68" s="8" t="s">
        <v>172</v>
      </c>
      <c r="E68" s="2" t="s">
        <v>31</v>
      </c>
      <c r="F68" s="2" t="s">
        <v>32</v>
      </c>
      <c r="G68" s="2" t="s">
        <v>33</v>
      </c>
      <c r="H68" s="14">
        <v>4</v>
      </c>
      <c r="I68" s="11">
        <v>59.99</v>
      </c>
      <c r="J68" s="2" t="s">
        <v>20</v>
      </c>
      <c r="K68" s="2" t="s">
        <v>35</v>
      </c>
      <c r="L68" s="2" t="s">
        <v>36</v>
      </c>
      <c r="M68" s="3">
        <v>44509</v>
      </c>
      <c r="N68" s="11">
        <v>239.96</v>
      </c>
      <c r="O68" s="8" t="s">
        <v>172</v>
      </c>
      <c r="P68" t="str">
        <f t="shared" si="2"/>
        <v>Appliances</v>
      </c>
      <c r="Q68">
        <f>INDEX(D67:N317,MATCH(O68,D68:$D$251,0),11)</f>
        <v>449.95</v>
      </c>
      <c r="R68" t="str">
        <f t="shared" si="3"/>
        <v>your customer is not Premium customer</v>
      </c>
      <c r="S68" t="str" cm="1">
        <f t="array" ref="S68">_xlfn.IFS(L68=$L$2,"he is an "&amp;$L$2&amp;"customer",L68=$L$3,"he is an"&amp;$L$3&amp;"customer",L68=$L$4,"he is an" &amp;$L$4&amp;"customer")</f>
        <v>he is anStandardcustomer</v>
      </c>
    </row>
    <row r="69" spans="1:19" x14ac:dyDescent="0.25">
      <c r="A69" s="2" t="s">
        <v>190</v>
      </c>
      <c r="B69" s="5">
        <v>45484</v>
      </c>
      <c r="C69" s="2" t="s">
        <v>24</v>
      </c>
      <c r="D69" s="8" t="s">
        <v>25</v>
      </c>
      <c r="E69" s="2" t="s">
        <v>52</v>
      </c>
      <c r="F69" s="2" t="s">
        <v>53</v>
      </c>
      <c r="G69" s="2" t="s">
        <v>19</v>
      </c>
      <c r="H69" s="14">
        <v>1</v>
      </c>
      <c r="I69" s="11">
        <v>149.99</v>
      </c>
      <c r="J69" s="2" t="s">
        <v>20</v>
      </c>
      <c r="K69" s="2" t="s">
        <v>21</v>
      </c>
      <c r="L69" s="2" t="s">
        <v>36</v>
      </c>
      <c r="M69" s="3">
        <v>44909</v>
      </c>
      <c r="N69" s="11">
        <v>149.99</v>
      </c>
      <c r="O69" s="8" t="s">
        <v>25</v>
      </c>
      <c r="P69" t="str">
        <f t="shared" si="2"/>
        <v>Electronics</v>
      </c>
      <c r="Q69">
        <f>INDEX(D68:N318,MATCH(O69,D69:$D$251,0),11)</f>
        <v>239.96</v>
      </c>
      <c r="R69" t="str">
        <f t="shared" si="3"/>
        <v>your customer is not Premium customer</v>
      </c>
      <c r="S69" t="str" cm="1">
        <f t="array" ref="S69">_xlfn.IFS(L69=$L$2,"he is an "&amp;$L$2&amp;"customer",L69=$L$3,"he is an"&amp;$L$3&amp;"customer",L69=$L$4,"he is an" &amp;$L$4&amp;"customer")</f>
        <v>he is anStandardcustomer</v>
      </c>
    </row>
    <row r="70" spans="1:19" x14ac:dyDescent="0.25">
      <c r="A70" s="2" t="s">
        <v>191</v>
      </c>
      <c r="B70" s="5">
        <v>45484</v>
      </c>
      <c r="C70" s="2" t="s">
        <v>192</v>
      </c>
      <c r="D70" s="8" t="s">
        <v>193</v>
      </c>
      <c r="E70" s="2" t="s">
        <v>105</v>
      </c>
      <c r="F70" s="2" t="s">
        <v>106</v>
      </c>
      <c r="G70" s="2" t="s">
        <v>46</v>
      </c>
      <c r="H70" s="14">
        <v>1</v>
      </c>
      <c r="I70" s="11">
        <v>299.99</v>
      </c>
      <c r="J70" s="2" t="s">
        <v>26</v>
      </c>
      <c r="K70" s="2" t="s">
        <v>40</v>
      </c>
      <c r="L70" s="2" t="s">
        <v>27</v>
      </c>
      <c r="M70" s="3">
        <v>44891</v>
      </c>
      <c r="N70" s="11">
        <v>299.99</v>
      </c>
      <c r="O70" s="8" t="s">
        <v>193</v>
      </c>
      <c r="P70" t="str">
        <f t="shared" si="2"/>
        <v>Furniture</v>
      </c>
      <c r="Q70">
        <f>INDEX(D69:N319,MATCH(O70,D70:$D$251,0),11)</f>
        <v>149.99</v>
      </c>
      <c r="R70" t="str">
        <f t="shared" si="3"/>
        <v>Premium</v>
      </c>
      <c r="S70" t="str" cm="1">
        <f t="array" ref="S70">_xlfn.IFS(L70=$L$2,"he is an "&amp;$L$2&amp;"customer",L70=$L$3,"he is an"&amp;$L$3&amp;"customer",L70=$L$4,"he is an" &amp;$L$4&amp;"customer")</f>
        <v>he is anPremiumcustomer</v>
      </c>
    </row>
    <row r="71" spans="1:19" x14ac:dyDescent="0.25">
      <c r="A71" s="2" t="s">
        <v>194</v>
      </c>
      <c r="B71" s="5">
        <v>45487</v>
      </c>
      <c r="C71" s="2" t="s">
        <v>192</v>
      </c>
      <c r="D71" s="8" t="s">
        <v>193</v>
      </c>
      <c r="E71" s="2" t="s">
        <v>126</v>
      </c>
      <c r="F71" s="2" t="s">
        <v>127</v>
      </c>
      <c r="G71" s="2" t="s">
        <v>46</v>
      </c>
      <c r="H71" s="14">
        <v>2</v>
      </c>
      <c r="I71" s="11">
        <v>199.99</v>
      </c>
      <c r="J71" s="2" t="s">
        <v>20</v>
      </c>
      <c r="K71" s="2" t="s">
        <v>40</v>
      </c>
      <c r="L71" s="2" t="s">
        <v>22</v>
      </c>
      <c r="M71" s="3">
        <v>44541</v>
      </c>
      <c r="N71" s="11">
        <v>399.98</v>
      </c>
      <c r="O71" s="8" t="s">
        <v>193</v>
      </c>
      <c r="P71" t="str">
        <f t="shared" si="2"/>
        <v>Furniture</v>
      </c>
      <c r="Q71">
        <f>INDEX(D70:N320,MATCH(O71,D71:$D$251,0),11)</f>
        <v>299.99</v>
      </c>
      <c r="R71" t="str">
        <f t="shared" si="3"/>
        <v>your customer is not Premium customer</v>
      </c>
      <c r="S71" t="str" cm="1">
        <f t="array" ref="S71">_xlfn.IFS(L71=$L$2,"he is an "&amp;$L$2&amp;"customer",L71=$L$3,"he is an"&amp;$L$3&amp;"customer",L71=$L$4,"he is an" &amp;$L$4&amp;"customer")</f>
        <v>he is an Basiccustomer</v>
      </c>
    </row>
    <row r="72" spans="1:19" x14ac:dyDescent="0.25">
      <c r="A72" s="2" t="s">
        <v>195</v>
      </c>
      <c r="B72" s="5">
        <v>45490</v>
      </c>
      <c r="C72" s="2" t="s">
        <v>196</v>
      </c>
      <c r="D72" s="8" t="s">
        <v>197</v>
      </c>
      <c r="E72" s="2" t="s">
        <v>31</v>
      </c>
      <c r="F72" s="2" t="s">
        <v>32</v>
      </c>
      <c r="G72" s="2" t="s">
        <v>33</v>
      </c>
      <c r="H72" s="14">
        <v>3</v>
      </c>
      <c r="I72" s="11">
        <v>59.99</v>
      </c>
      <c r="J72" s="2" t="s">
        <v>26</v>
      </c>
      <c r="K72" s="2" t="s">
        <v>50</v>
      </c>
      <c r="L72" s="2" t="s">
        <v>22</v>
      </c>
      <c r="M72" s="3">
        <v>45130</v>
      </c>
      <c r="N72" s="11">
        <v>179.97</v>
      </c>
      <c r="O72" s="8" t="s">
        <v>197</v>
      </c>
      <c r="P72" t="str">
        <f t="shared" si="2"/>
        <v>Appliances</v>
      </c>
      <c r="Q72">
        <f>INDEX(D71:N321,MATCH(O72,D72:$D$251,0),11)</f>
        <v>399.98</v>
      </c>
      <c r="R72" t="str">
        <f t="shared" si="3"/>
        <v>your customer is not Premium customer</v>
      </c>
      <c r="S72" t="str" cm="1">
        <f t="array" ref="S72">_xlfn.IFS(L72=$L$2,"he is an "&amp;$L$2&amp;"customer",L72=$L$3,"he is an"&amp;$L$3&amp;"customer",L72=$L$4,"he is an" &amp;$L$4&amp;"customer")</f>
        <v>he is an Basiccustomer</v>
      </c>
    </row>
    <row r="73" spans="1:19" x14ac:dyDescent="0.25">
      <c r="A73" s="2" t="s">
        <v>198</v>
      </c>
      <c r="B73" s="5">
        <v>45490</v>
      </c>
      <c r="C73" s="2" t="s">
        <v>72</v>
      </c>
      <c r="D73" s="8" t="s">
        <v>73</v>
      </c>
      <c r="E73" s="2" t="s">
        <v>44</v>
      </c>
      <c r="F73" s="2" t="s">
        <v>45</v>
      </c>
      <c r="G73" s="2" t="s">
        <v>46</v>
      </c>
      <c r="H73" s="14">
        <v>3</v>
      </c>
      <c r="I73" s="11">
        <v>149.99</v>
      </c>
      <c r="J73" s="2" t="s">
        <v>20</v>
      </c>
      <c r="K73" s="2" t="s">
        <v>21</v>
      </c>
      <c r="L73" s="2" t="s">
        <v>27</v>
      </c>
      <c r="M73" s="3">
        <v>45199</v>
      </c>
      <c r="N73" s="11">
        <v>449.97</v>
      </c>
      <c r="O73" s="8" t="s">
        <v>73</v>
      </c>
      <c r="P73" t="str">
        <f t="shared" si="2"/>
        <v>Furniture</v>
      </c>
      <c r="Q73">
        <f>INDEX(D72:N322,MATCH(O73,D73:$D$251,0),11)</f>
        <v>179.97</v>
      </c>
      <c r="R73" t="str">
        <f t="shared" si="3"/>
        <v>Premium</v>
      </c>
      <c r="S73" t="str" cm="1">
        <f t="array" ref="S73">_xlfn.IFS(L73=$L$2,"he is an "&amp;$L$2&amp;"customer",L73=$L$3,"he is an"&amp;$L$3&amp;"customer",L73=$L$4,"he is an" &amp;$L$4&amp;"customer")</f>
        <v>he is anPremiumcustomer</v>
      </c>
    </row>
    <row r="74" spans="1:19" x14ac:dyDescent="0.25">
      <c r="A74" s="2" t="s">
        <v>199</v>
      </c>
      <c r="B74" s="5">
        <v>45491</v>
      </c>
      <c r="C74" s="2" t="s">
        <v>65</v>
      </c>
      <c r="D74" s="8" t="s">
        <v>66</v>
      </c>
      <c r="E74" s="2" t="s">
        <v>126</v>
      </c>
      <c r="F74" s="2" t="s">
        <v>127</v>
      </c>
      <c r="G74" s="2" t="s">
        <v>46</v>
      </c>
      <c r="H74" s="14">
        <v>3</v>
      </c>
      <c r="I74" s="11">
        <v>199.99</v>
      </c>
      <c r="J74" s="2" t="s">
        <v>20</v>
      </c>
      <c r="K74" s="2" t="s">
        <v>40</v>
      </c>
      <c r="L74" s="2" t="s">
        <v>27</v>
      </c>
      <c r="M74" s="3">
        <v>45254</v>
      </c>
      <c r="N74" s="11">
        <v>599.97</v>
      </c>
      <c r="O74" s="8" t="s">
        <v>66</v>
      </c>
      <c r="P74" t="str">
        <f t="shared" si="2"/>
        <v>Furniture</v>
      </c>
      <c r="Q74">
        <f>INDEX(D73:N323,MATCH(O74,D74:$D$251,0),11)</f>
        <v>449.97</v>
      </c>
      <c r="R74" t="str">
        <f t="shared" si="3"/>
        <v>Premium</v>
      </c>
      <c r="S74" t="str" cm="1">
        <f t="array" ref="S74">_xlfn.IFS(L74=$L$2,"he is an "&amp;$L$2&amp;"customer",L74=$L$3,"he is an"&amp;$L$3&amp;"customer",L74=$L$4,"he is an" &amp;$L$4&amp;"customer")</f>
        <v>he is anPremiumcustomer</v>
      </c>
    </row>
    <row r="75" spans="1:19" x14ac:dyDescent="0.25">
      <c r="A75" s="2" t="s">
        <v>200</v>
      </c>
      <c r="B75" s="5">
        <v>45496</v>
      </c>
      <c r="C75" s="2" t="s">
        <v>150</v>
      </c>
      <c r="D75" s="8" t="s">
        <v>151</v>
      </c>
      <c r="E75" s="2" t="s">
        <v>61</v>
      </c>
      <c r="F75" s="2" t="s">
        <v>62</v>
      </c>
      <c r="G75" s="2" t="s">
        <v>19</v>
      </c>
      <c r="H75" s="14">
        <v>1</v>
      </c>
      <c r="I75" s="11">
        <v>899.99</v>
      </c>
      <c r="J75" s="2" t="s">
        <v>20</v>
      </c>
      <c r="K75" s="2" t="s">
        <v>21</v>
      </c>
      <c r="L75" s="2" t="s">
        <v>36</v>
      </c>
      <c r="M75" s="3">
        <v>45179</v>
      </c>
      <c r="N75" s="11">
        <v>899.99</v>
      </c>
      <c r="O75" s="8" t="s">
        <v>151</v>
      </c>
      <c r="P75" t="str">
        <f t="shared" si="2"/>
        <v>Electronics</v>
      </c>
      <c r="Q75">
        <f>INDEX(D74:N324,MATCH(O75,D75:$D$251,0),11)</f>
        <v>599.97</v>
      </c>
      <c r="R75" t="str">
        <f t="shared" si="3"/>
        <v>your customer is not Premium customer</v>
      </c>
      <c r="S75" t="str" cm="1">
        <f t="array" ref="S75">_xlfn.IFS(L75=$L$2,"he is an "&amp;$L$2&amp;"customer",L75=$L$3,"he is an"&amp;$L$3&amp;"customer",L75=$L$4,"he is an" &amp;$L$4&amp;"customer")</f>
        <v>he is anStandardcustomer</v>
      </c>
    </row>
    <row r="76" spans="1:19" x14ac:dyDescent="0.25">
      <c r="A76" s="2" t="s">
        <v>201</v>
      </c>
      <c r="B76" s="5">
        <v>45497</v>
      </c>
      <c r="C76" s="2" t="s">
        <v>24</v>
      </c>
      <c r="D76" s="8" t="s">
        <v>25</v>
      </c>
      <c r="E76" s="2" t="s">
        <v>61</v>
      </c>
      <c r="F76" s="2" t="s">
        <v>62</v>
      </c>
      <c r="G76" s="2" t="s">
        <v>19</v>
      </c>
      <c r="H76" s="14">
        <v>5</v>
      </c>
      <c r="I76" s="11">
        <v>899.99</v>
      </c>
      <c r="J76" s="2" t="s">
        <v>57</v>
      </c>
      <c r="K76" s="2" t="s">
        <v>35</v>
      </c>
      <c r="L76" s="2" t="s">
        <v>36</v>
      </c>
      <c r="M76" s="3">
        <v>44899</v>
      </c>
      <c r="N76" s="11">
        <v>4499.95</v>
      </c>
      <c r="O76" s="8" t="s">
        <v>25</v>
      </c>
      <c r="P76" t="str">
        <f t="shared" si="2"/>
        <v>Electronics</v>
      </c>
      <c r="Q76">
        <f>INDEX(D75:N325,MATCH(O76,D76:$D$251,0),11)</f>
        <v>899.99</v>
      </c>
      <c r="R76" t="str">
        <f t="shared" si="3"/>
        <v>your customer is not Premium customer</v>
      </c>
      <c r="S76" t="str" cm="1">
        <f t="array" ref="S76">_xlfn.IFS(L76=$L$2,"he is an "&amp;$L$2&amp;"customer",L76=$L$3,"he is an"&amp;$L$3&amp;"customer",L76=$L$4,"he is an" &amp;$L$4&amp;"customer")</f>
        <v>he is anStandardcustomer</v>
      </c>
    </row>
    <row r="77" spans="1:19" x14ac:dyDescent="0.25">
      <c r="A77" s="2" t="s">
        <v>202</v>
      </c>
      <c r="B77" s="5">
        <v>45498</v>
      </c>
      <c r="C77" s="2" t="s">
        <v>182</v>
      </c>
      <c r="D77" s="8" t="s">
        <v>183</v>
      </c>
      <c r="E77" s="2" t="s">
        <v>31</v>
      </c>
      <c r="F77" s="2" t="s">
        <v>32</v>
      </c>
      <c r="G77" s="2" t="s">
        <v>33</v>
      </c>
      <c r="H77" s="14">
        <v>2</v>
      </c>
      <c r="I77" s="11">
        <v>59.99</v>
      </c>
      <c r="J77" s="2" t="s">
        <v>20</v>
      </c>
      <c r="K77" s="2" t="s">
        <v>40</v>
      </c>
      <c r="L77" s="2" t="s">
        <v>36</v>
      </c>
      <c r="M77" s="3">
        <v>45152</v>
      </c>
      <c r="N77" s="11">
        <v>119.98</v>
      </c>
      <c r="O77" s="8" t="s">
        <v>183</v>
      </c>
      <c r="P77" t="str">
        <f t="shared" si="2"/>
        <v>Appliances</v>
      </c>
      <c r="Q77">
        <f>INDEX(D76:N326,MATCH(O77,D77:$D$251,0),11)</f>
        <v>4499.95</v>
      </c>
      <c r="R77" t="str">
        <f t="shared" si="3"/>
        <v>your customer is not Premium customer</v>
      </c>
      <c r="S77" t="str" cm="1">
        <f t="array" ref="S77">_xlfn.IFS(L77=$L$2,"he is an "&amp;$L$2&amp;"customer",L77=$L$3,"he is an"&amp;$L$3&amp;"customer",L77=$L$4,"he is an" &amp;$L$4&amp;"customer")</f>
        <v>he is anStandardcustomer</v>
      </c>
    </row>
    <row r="78" spans="1:19" x14ac:dyDescent="0.25">
      <c r="A78" s="2" t="s">
        <v>203</v>
      </c>
      <c r="B78" s="5">
        <v>45498</v>
      </c>
      <c r="C78" s="2" t="s">
        <v>196</v>
      </c>
      <c r="D78" s="8" t="s">
        <v>197</v>
      </c>
      <c r="E78" s="2" t="s">
        <v>17</v>
      </c>
      <c r="F78" s="2" t="s">
        <v>18</v>
      </c>
      <c r="G78" s="2" t="s">
        <v>19</v>
      </c>
      <c r="H78" s="14">
        <v>4</v>
      </c>
      <c r="I78" s="11">
        <v>249.99</v>
      </c>
      <c r="J78" s="2" t="s">
        <v>57</v>
      </c>
      <c r="K78" s="2" t="s">
        <v>21</v>
      </c>
      <c r="L78" s="2" t="s">
        <v>36</v>
      </c>
      <c r="M78" s="3">
        <v>45127</v>
      </c>
      <c r="N78" s="11">
        <v>999.96</v>
      </c>
      <c r="O78" s="8" t="s">
        <v>197</v>
      </c>
      <c r="P78" t="str">
        <f t="shared" si="2"/>
        <v>Electronics</v>
      </c>
      <c r="Q78">
        <f>INDEX(D77:N327,MATCH(O78,D78:$D$251,0),11)</f>
        <v>119.98</v>
      </c>
      <c r="R78" t="str">
        <f t="shared" si="3"/>
        <v>your customer is not Premium customer</v>
      </c>
      <c r="S78" t="str" cm="1">
        <f t="array" ref="S78">_xlfn.IFS(L78=$L$2,"he is an "&amp;$L$2&amp;"customer",L78=$L$3,"he is an"&amp;$L$3&amp;"customer",L78=$L$4,"he is an" &amp;$L$4&amp;"customer")</f>
        <v>he is anStandardcustomer</v>
      </c>
    </row>
    <row r="79" spans="1:19" x14ac:dyDescent="0.25">
      <c r="A79" s="2" t="s">
        <v>204</v>
      </c>
      <c r="B79" s="5">
        <v>45500</v>
      </c>
      <c r="C79" s="2" t="s">
        <v>96</v>
      </c>
      <c r="D79" s="8" t="s">
        <v>97</v>
      </c>
      <c r="E79" s="2" t="s">
        <v>17</v>
      </c>
      <c r="F79" s="2" t="s">
        <v>18</v>
      </c>
      <c r="G79" s="2" t="s">
        <v>19</v>
      </c>
      <c r="H79" s="14">
        <v>2</v>
      </c>
      <c r="I79" s="11">
        <v>249.99</v>
      </c>
      <c r="J79" s="2" t="s">
        <v>20</v>
      </c>
      <c r="K79" s="2" t="s">
        <v>40</v>
      </c>
      <c r="L79" s="2" t="s">
        <v>27</v>
      </c>
      <c r="M79" s="3">
        <v>45164</v>
      </c>
      <c r="N79" s="11">
        <v>499.98</v>
      </c>
      <c r="O79" s="8" t="s">
        <v>97</v>
      </c>
      <c r="P79" t="str">
        <f t="shared" si="2"/>
        <v>Electronics</v>
      </c>
      <c r="Q79">
        <f>INDEX(D78:N328,MATCH(O79,D79:$D$251,0),11)</f>
        <v>999.96</v>
      </c>
      <c r="R79" t="str">
        <f t="shared" si="3"/>
        <v>Premium</v>
      </c>
      <c r="S79" t="str" cm="1">
        <f t="array" ref="S79">_xlfn.IFS(L79=$L$2,"he is an "&amp;$L$2&amp;"customer",L79=$L$3,"he is an"&amp;$L$3&amp;"customer",L79=$L$4,"he is an" &amp;$L$4&amp;"customer")</f>
        <v>he is anPremiumcustomer</v>
      </c>
    </row>
    <row r="80" spans="1:19" x14ac:dyDescent="0.25">
      <c r="A80" s="2" t="s">
        <v>205</v>
      </c>
      <c r="B80" s="5">
        <v>45500</v>
      </c>
      <c r="C80" s="2" t="s">
        <v>147</v>
      </c>
      <c r="D80" s="8" t="s">
        <v>148</v>
      </c>
      <c r="E80" s="2" t="s">
        <v>105</v>
      </c>
      <c r="F80" s="2" t="s">
        <v>106</v>
      </c>
      <c r="G80" s="2" t="s">
        <v>46</v>
      </c>
      <c r="H80" s="14">
        <v>1</v>
      </c>
      <c r="I80" s="11">
        <v>299.99</v>
      </c>
      <c r="J80" s="2" t="s">
        <v>20</v>
      </c>
      <c r="K80" s="2" t="s">
        <v>35</v>
      </c>
      <c r="L80" s="2" t="s">
        <v>22</v>
      </c>
      <c r="M80" s="3">
        <v>44982</v>
      </c>
      <c r="N80" s="11">
        <v>299.99</v>
      </c>
      <c r="O80" s="8" t="s">
        <v>148</v>
      </c>
      <c r="P80" t="str">
        <f t="shared" si="2"/>
        <v>Furniture</v>
      </c>
      <c r="Q80">
        <f>INDEX(D79:N329,MATCH(O80,D80:$D$251,0),11)</f>
        <v>499.98</v>
      </c>
      <c r="R80" t="str">
        <f t="shared" si="3"/>
        <v>your customer is not Premium customer</v>
      </c>
      <c r="S80" t="str" cm="1">
        <f t="array" ref="S80">_xlfn.IFS(L80=$L$2,"he is an "&amp;$L$2&amp;"customer",L80=$L$3,"he is an"&amp;$L$3&amp;"customer",L80=$L$4,"he is an" &amp;$L$4&amp;"customer")</f>
        <v>he is an Basiccustomer</v>
      </c>
    </row>
    <row r="81" spans="1:19" x14ac:dyDescent="0.25">
      <c r="A81" s="2" t="s">
        <v>206</v>
      </c>
      <c r="B81" s="5">
        <v>45501</v>
      </c>
      <c r="C81" s="2" t="s">
        <v>86</v>
      </c>
      <c r="D81" s="8" t="s">
        <v>87</v>
      </c>
      <c r="E81" s="2" t="s">
        <v>117</v>
      </c>
      <c r="F81" s="2" t="s">
        <v>118</v>
      </c>
      <c r="G81" s="2" t="s">
        <v>19</v>
      </c>
      <c r="H81" s="14">
        <v>2</v>
      </c>
      <c r="I81" s="11">
        <v>89.99</v>
      </c>
      <c r="J81" s="2" t="s">
        <v>34</v>
      </c>
      <c r="K81" s="2" t="s">
        <v>35</v>
      </c>
      <c r="L81" s="2" t="s">
        <v>22</v>
      </c>
      <c r="M81" s="3">
        <v>44976</v>
      </c>
      <c r="N81" s="11">
        <v>179.98</v>
      </c>
      <c r="O81" s="8" t="s">
        <v>87</v>
      </c>
      <c r="P81" t="str">
        <f t="shared" si="2"/>
        <v>Electronics</v>
      </c>
      <c r="Q81">
        <f>INDEX(D80:N330,MATCH(O81,D81:$D$251,0),11)</f>
        <v>299.99</v>
      </c>
      <c r="R81" t="str">
        <f t="shared" si="3"/>
        <v>your customer is not Premium customer</v>
      </c>
      <c r="S81" t="str" cm="1">
        <f t="array" ref="S81">_xlfn.IFS(L81=$L$2,"he is an "&amp;$L$2&amp;"customer",L81=$L$3,"he is an"&amp;$L$3&amp;"customer",L81=$L$4,"he is an" &amp;$L$4&amp;"customer")</f>
        <v>he is an Basiccustomer</v>
      </c>
    </row>
    <row r="82" spans="1:19" x14ac:dyDescent="0.25">
      <c r="A82" s="2" t="s">
        <v>207</v>
      </c>
      <c r="B82" s="5">
        <v>45501</v>
      </c>
      <c r="C82" s="2" t="s">
        <v>147</v>
      </c>
      <c r="D82" s="8" t="s">
        <v>148</v>
      </c>
      <c r="E82" s="2" t="s">
        <v>105</v>
      </c>
      <c r="F82" s="2" t="s">
        <v>106</v>
      </c>
      <c r="G82" s="2" t="s">
        <v>46</v>
      </c>
      <c r="H82" s="14">
        <v>3</v>
      </c>
      <c r="I82" s="11">
        <v>299.99</v>
      </c>
      <c r="J82" s="2" t="s">
        <v>20</v>
      </c>
      <c r="K82" s="2" t="s">
        <v>21</v>
      </c>
      <c r="L82" s="2" t="s">
        <v>22</v>
      </c>
      <c r="M82" s="3">
        <v>44732</v>
      </c>
      <c r="N82" s="11">
        <v>899.97</v>
      </c>
      <c r="O82" s="8" t="s">
        <v>148</v>
      </c>
      <c r="P82" t="str">
        <f t="shared" si="2"/>
        <v>Furniture</v>
      </c>
      <c r="Q82">
        <f>INDEX(D81:N331,MATCH(O82,D82:$D$251,0),11)</f>
        <v>179.98</v>
      </c>
      <c r="R82" t="str">
        <f t="shared" si="3"/>
        <v>your customer is not Premium customer</v>
      </c>
      <c r="S82" t="str" cm="1">
        <f t="array" ref="S82">_xlfn.IFS(L82=$L$2,"he is an "&amp;$L$2&amp;"customer",L82=$L$3,"he is an"&amp;$L$3&amp;"customer",L82=$L$4,"he is an" &amp;$L$4&amp;"customer")</f>
        <v>he is an Basiccustomer</v>
      </c>
    </row>
    <row r="83" spans="1:19" x14ac:dyDescent="0.25">
      <c r="A83" s="2" t="s">
        <v>208</v>
      </c>
      <c r="B83" s="5">
        <v>45503</v>
      </c>
      <c r="C83" s="2" t="s">
        <v>86</v>
      </c>
      <c r="D83" s="8" t="s">
        <v>87</v>
      </c>
      <c r="E83" s="2" t="s">
        <v>80</v>
      </c>
      <c r="F83" s="2" t="s">
        <v>81</v>
      </c>
      <c r="G83" s="2" t="s">
        <v>19</v>
      </c>
      <c r="H83" s="14">
        <v>2</v>
      </c>
      <c r="I83" s="11">
        <v>699.99</v>
      </c>
      <c r="J83" s="2" t="s">
        <v>26</v>
      </c>
      <c r="K83" s="2" t="s">
        <v>40</v>
      </c>
      <c r="L83" s="2" t="s">
        <v>27</v>
      </c>
      <c r="M83" s="3">
        <v>44999</v>
      </c>
      <c r="N83" s="11">
        <v>1399.98</v>
      </c>
      <c r="O83" s="8" t="s">
        <v>87</v>
      </c>
      <c r="P83" t="str">
        <f t="shared" si="2"/>
        <v>Electronics</v>
      </c>
      <c r="Q83">
        <f>INDEX(D82:N332,MATCH(O83,D83:$D$251,0),11)</f>
        <v>899.97</v>
      </c>
      <c r="R83" t="str">
        <f t="shared" si="3"/>
        <v>Premium</v>
      </c>
      <c r="S83" t="str" cm="1">
        <f t="array" ref="S83">_xlfn.IFS(L83=$L$2,"he is an "&amp;$L$2&amp;"customer",L83=$L$3,"he is an"&amp;$L$3&amp;"customer",L83=$L$4,"he is an" &amp;$L$4&amp;"customer")</f>
        <v>he is anPremiumcustomer</v>
      </c>
    </row>
    <row r="84" spans="1:19" x14ac:dyDescent="0.25">
      <c r="A84" s="2" t="s">
        <v>209</v>
      </c>
      <c r="B84" s="5">
        <v>45504</v>
      </c>
      <c r="C84" s="2" t="s">
        <v>120</v>
      </c>
      <c r="D84" s="8" t="s">
        <v>121</v>
      </c>
      <c r="E84" s="2" t="s">
        <v>61</v>
      </c>
      <c r="F84" s="2" t="s">
        <v>62</v>
      </c>
      <c r="G84" s="2" t="s">
        <v>19</v>
      </c>
      <c r="H84" s="14">
        <v>4</v>
      </c>
      <c r="I84" s="11">
        <v>899.99</v>
      </c>
      <c r="J84" s="2" t="s">
        <v>57</v>
      </c>
      <c r="K84" s="2" t="s">
        <v>35</v>
      </c>
      <c r="L84" s="2" t="s">
        <v>36</v>
      </c>
      <c r="M84" s="3">
        <v>44523</v>
      </c>
      <c r="N84" s="11">
        <v>3599.96</v>
      </c>
      <c r="O84" s="8" t="s">
        <v>121</v>
      </c>
      <c r="P84" t="str">
        <f t="shared" si="2"/>
        <v>Electronics</v>
      </c>
      <c r="Q84">
        <f>INDEX(D83:N333,MATCH(O84,D84:$D$251,0),11)</f>
        <v>1399.98</v>
      </c>
      <c r="R84" t="str">
        <f t="shared" si="3"/>
        <v>your customer is not Premium customer</v>
      </c>
      <c r="S84" t="str" cm="1">
        <f t="array" ref="S84">_xlfn.IFS(L84=$L$2,"he is an "&amp;$L$2&amp;"customer",L84=$L$3,"he is an"&amp;$L$3&amp;"customer",L84=$L$4,"he is an" &amp;$L$4&amp;"customer")</f>
        <v>he is anStandardcustomer</v>
      </c>
    </row>
    <row r="85" spans="1:19" x14ac:dyDescent="0.25">
      <c r="A85" s="2" t="s">
        <v>210</v>
      </c>
      <c r="B85" s="5">
        <v>45509</v>
      </c>
      <c r="C85" s="2" t="s">
        <v>211</v>
      </c>
      <c r="D85" s="8" t="s">
        <v>212</v>
      </c>
      <c r="E85" s="2" t="s">
        <v>44</v>
      </c>
      <c r="F85" s="2" t="s">
        <v>45</v>
      </c>
      <c r="G85" s="2" t="s">
        <v>46</v>
      </c>
      <c r="H85" s="14">
        <v>2</v>
      </c>
      <c r="I85" s="11">
        <v>149.99</v>
      </c>
      <c r="J85" s="2" t="s">
        <v>26</v>
      </c>
      <c r="K85" s="2" t="s">
        <v>50</v>
      </c>
      <c r="L85" s="2" t="s">
        <v>22</v>
      </c>
      <c r="M85" s="3">
        <v>44542</v>
      </c>
      <c r="N85" s="11">
        <v>299.98</v>
      </c>
      <c r="O85" s="8" t="s">
        <v>212</v>
      </c>
      <c r="P85" t="str">
        <f t="shared" si="2"/>
        <v>Furniture</v>
      </c>
      <c r="Q85">
        <f>INDEX(D84:N334,MATCH(O85,D85:$D$251,0),11)</f>
        <v>3599.96</v>
      </c>
      <c r="R85" t="str">
        <f t="shared" si="3"/>
        <v>your customer is not Premium customer</v>
      </c>
      <c r="S85" t="str" cm="1">
        <f t="array" ref="S85">_xlfn.IFS(L85=$L$2,"he is an "&amp;$L$2&amp;"customer",L85=$L$3,"he is an"&amp;$L$3&amp;"customer",L85=$L$4,"he is an" &amp;$L$4&amp;"customer")</f>
        <v>he is an Basiccustomer</v>
      </c>
    </row>
    <row r="86" spans="1:19" x14ac:dyDescent="0.25">
      <c r="A86" s="2" t="s">
        <v>213</v>
      </c>
      <c r="B86" s="5">
        <v>45510</v>
      </c>
      <c r="C86" s="2" t="s">
        <v>102</v>
      </c>
      <c r="D86" s="8" t="s">
        <v>103</v>
      </c>
      <c r="E86" s="2" t="s">
        <v>44</v>
      </c>
      <c r="F86" s="2" t="s">
        <v>45</v>
      </c>
      <c r="G86" s="2" t="s">
        <v>46</v>
      </c>
      <c r="H86" s="14">
        <v>2</v>
      </c>
      <c r="I86" s="11">
        <v>149.99</v>
      </c>
      <c r="J86" s="2" t="s">
        <v>57</v>
      </c>
      <c r="K86" s="2" t="s">
        <v>63</v>
      </c>
      <c r="L86" s="2" t="s">
        <v>36</v>
      </c>
      <c r="M86" s="3">
        <v>44667</v>
      </c>
      <c r="N86" s="11">
        <v>299.98</v>
      </c>
      <c r="O86" s="8" t="s">
        <v>103</v>
      </c>
      <c r="P86" t="str">
        <f t="shared" si="2"/>
        <v>Furniture</v>
      </c>
      <c r="Q86">
        <f>INDEX(D85:N335,MATCH(O86,D86:$D$251,0),11)</f>
        <v>299.98</v>
      </c>
      <c r="R86" t="str">
        <f t="shared" si="3"/>
        <v>your customer is not Premium customer</v>
      </c>
      <c r="S86" t="str" cm="1">
        <f t="array" ref="S86">_xlfn.IFS(L86=$L$2,"he is an "&amp;$L$2&amp;"customer",L86=$L$3,"he is an"&amp;$L$3&amp;"customer",L86=$L$4,"he is an" &amp;$L$4&amp;"customer")</f>
        <v>he is anStandardcustomer</v>
      </c>
    </row>
    <row r="87" spans="1:19" x14ac:dyDescent="0.25">
      <c r="A87" s="2" t="s">
        <v>214</v>
      </c>
      <c r="B87" s="5">
        <v>45513</v>
      </c>
      <c r="C87" s="2" t="s">
        <v>89</v>
      </c>
      <c r="D87" s="8" t="s">
        <v>90</v>
      </c>
      <c r="E87" s="2" t="s">
        <v>117</v>
      </c>
      <c r="F87" s="2" t="s">
        <v>118</v>
      </c>
      <c r="G87" s="2" t="s">
        <v>19</v>
      </c>
      <c r="H87" s="14">
        <v>1</v>
      </c>
      <c r="I87" s="11">
        <v>89.99</v>
      </c>
      <c r="J87" s="2" t="s">
        <v>26</v>
      </c>
      <c r="K87" s="2" t="s">
        <v>40</v>
      </c>
      <c r="L87" s="2" t="s">
        <v>36</v>
      </c>
      <c r="M87" s="3">
        <v>45393</v>
      </c>
      <c r="N87" s="11">
        <v>89.99</v>
      </c>
      <c r="O87" s="8" t="s">
        <v>90</v>
      </c>
      <c r="P87" t="str">
        <f t="shared" si="2"/>
        <v>Electronics</v>
      </c>
      <c r="Q87">
        <f>INDEX(D86:N336,MATCH(O87,D87:$D$251,0),11)</f>
        <v>299.98</v>
      </c>
      <c r="R87" t="str">
        <f t="shared" si="3"/>
        <v>your customer is not Premium customer</v>
      </c>
      <c r="S87" t="str" cm="1">
        <f t="array" ref="S87">_xlfn.IFS(L87=$L$2,"he is an "&amp;$L$2&amp;"customer",L87=$L$3,"he is an"&amp;$L$3&amp;"customer",L87=$L$4,"he is an" &amp;$L$4&amp;"customer")</f>
        <v>he is anStandardcustomer</v>
      </c>
    </row>
    <row r="88" spans="1:19" x14ac:dyDescent="0.25">
      <c r="A88" s="2" t="s">
        <v>215</v>
      </c>
      <c r="B88" s="5">
        <v>45515</v>
      </c>
      <c r="C88" s="2" t="s">
        <v>86</v>
      </c>
      <c r="D88" s="8" t="s">
        <v>87</v>
      </c>
      <c r="E88" s="2" t="s">
        <v>105</v>
      </c>
      <c r="F88" s="2" t="s">
        <v>106</v>
      </c>
      <c r="G88" s="2" t="s">
        <v>46</v>
      </c>
      <c r="H88" s="14">
        <v>5</v>
      </c>
      <c r="I88" s="11">
        <v>299.99</v>
      </c>
      <c r="J88" s="2" t="s">
        <v>26</v>
      </c>
      <c r="K88" s="2" t="s">
        <v>40</v>
      </c>
      <c r="L88" s="2" t="s">
        <v>22</v>
      </c>
      <c r="M88" s="3">
        <v>44965</v>
      </c>
      <c r="N88" s="11">
        <v>1499.95</v>
      </c>
      <c r="O88" s="8" t="s">
        <v>87</v>
      </c>
      <c r="P88" t="str">
        <f t="shared" si="2"/>
        <v>Furniture</v>
      </c>
      <c r="Q88">
        <f>INDEX(D87:N337,MATCH(O88,D88:$D$251,0),11)</f>
        <v>89.99</v>
      </c>
      <c r="R88" t="str">
        <f t="shared" si="3"/>
        <v>your customer is not Premium customer</v>
      </c>
      <c r="S88" t="str" cm="1">
        <f t="array" ref="S88">_xlfn.IFS(L88=$L$2,"he is an "&amp;$L$2&amp;"customer",L88=$L$3,"he is an"&amp;$L$3&amp;"customer",L88=$L$4,"he is an" &amp;$L$4&amp;"customer")</f>
        <v>he is an Basiccustomer</v>
      </c>
    </row>
    <row r="89" spans="1:19" x14ac:dyDescent="0.25">
      <c r="A89" s="2" t="s">
        <v>216</v>
      </c>
      <c r="B89" s="5">
        <v>45517</v>
      </c>
      <c r="C89" s="2" t="s">
        <v>182</v>
      </c>
      <c r="D89" s="8" t="s">
        <v>183</v>
      </c>
      <c r="E89" s="2" t="s">
        <v>52</v>
      </c>
      <c r="F89" s="2" t="s">
        <v>53</v>
      </c>
      <c r="G89" s="2" t="s">
        <v>19</v>
      </c>
      <c r="H89" s="14">
        <v>4</v>
      </c>
      <c r="I89" s="11">
        <v>149.99</v>
      </c>
      <c r="J89" s="2" t="s">
        <v>57</v>
      </c>
      <c r="K89" s="2" t="s">
        <v>35</v>
      </c>
      <c r="L89" s="2" t="s">
        <v>27</v>
      </c>
      <c r="M89" s="3">
        <v>44820</v>
      </c>
      <c r="N89" s="11">
        <v>599.96</v>
      </c>
      <c r="O89" s="8" t="s">
        <v>183</v>
      </c>
      <c r="P89" t="str">
        <f t="shared" si="2"/>
        <v>Electronics</v>
      </c>
      <c r="Q89">
        <f>INDEX(D88:N338,MATCH(O89,D89:$D$251,0),11)</f>
        <v>1499.95</v>
      </c>
      <c r="R89" t="str">
        <f t="shared" si="3"/>
        <v>Premium</v>
      </c>
      <c r="S89" t="str" cm="1">
        <f t="array" ref="S89">_xlfn.IFS(L89=$L$2,"he is an "&amp;$L$2&amp;"customer",L89=$L$3,"he is an"&amp;$L$3&amp;"customer",L89=$L$4,"he is an" &amp;$L$4&amp;"customer")</f>
        <v>he is anPremiumcustomer</v>
      </c>
    </row>
    <row r="90" spans="1:19" x14ac:dyDescent="0.25">
      <c r="A90" s="2" t="s">
        <v>217</v>
      </c>
      <c r="B90" s="5">
        <v>45517</v>
      </c>
      <c r="C90" s="2" t="s">
        <v>185</v>
      </c>
      <c r="D90" s="8" t="s">
        <v>186</v>
      </c>
      <c r="E90" s="2" t="s">
        <v>17</v>
      </c>
      <c r="F90" s="2" t="s">
        <v>18</v>
      </c>
      <c r="G90" s="2" t="s">
        <v>19</v>
      </c>
      <c r="H90" s="14">
        <v>5</v>
      </c>
      <c r="I90" s="11">
        <v>249.99</v>
      </c>
      <c r="J90" s="2" t="s">
        <v>34</v>
      </c>
      <c r="K90" s="2" t="s">
        <v>63</v>
      </c>
      <c r="L90" s="2" t="s">
        <v>27</v>
      </c>
      <c r="M90" s="3">
        <v>44782</v>
      </c>
      <c r="N90" s="11">
        <v>1249.95</v>
      </c>
      <c r="O90" s="8" t="s">
        <v>186</v>
      </c>
      <c r="P90" t="str">
        <f t="shared" si="2"/>
        <v>Electronics</v>
      </c>
      <c r="Q90">
        <f>INDEX(D89:N339,MATCH(O90,D90:$D$251,0),11)</f>
        <v>599.96</v>
      </c>
      <c r="R90" t="str">
        <f t="shared" si="3"/>
        <v>Premium</v>
      </c>
      <c r="S90" t="str" cm="1">
        <f t="array" ref="S90">_xlfn.IFS(L90=$L$2,"he is an "&amp;$L$2&amp;"customer",L90=$L$3,"he is an"&amp;$L$3&amp;"customer",L90=$L$4,"he is an" &amp;$L$4&amp;"customer")</f>
        <v>he is anPremiumcustomer</v>
      </c>
    </row>
    <row r="91" spans="1:19" x14ac:dyDescent="0.25">
      <c r="A91" s="2" t="s">
        <v>218</v>
      </c>
      <c r="B91" s="5">
        <v>45517</v>
      </c>
      <c r="C91" s="2" t="s">
        <v>65</v>
      </c>
      <c r="D91" s="8" t="s">
        <v>66</v>
      </c>
      <c r="E91" s="2" t="s">
        <v>17</v>
      </c>
      <c r="F91" s="2" t="s">
        <v>18</v>
      </c>
      <c r="G91" s="2" t="s">
        <v>19</v>
      </c>
      <c r="H91" s="14">
        <v>3</v>
      </c>
      <c r="I91" s="11">
        <v>249.99</v>
      </c>
      <c r="J91" s="2" t="s">
        <v>34</v>
      </c>
      <c r="K91" s="2" t="s">
        <v>40</v>
      </c>
      <c r="L91" s="2" t="s">
        <v>27</v>
      </c>
      <c r="M91" s="3">
        <v>44465</v>
      </c>
      <c r="N91" s="11">
        <v>749.97</v>
      </c>
      <c r="O91" s="8" t="s">
        <v>66</v>
      </c>
      <c r="P91" t="str">
        <f t="shared" si="2"/>
        <v>Electronics</v>
      </c>
      <c r="Q91">
        <f>INDEX(D90:N340,MATCH(O91,D91:$D$251,0),11)</f>
        <v>1249.95</v>
      </c>
      <c r="R91" t="str">
        <f t="shared" si="3"/>
        <v>Premium</v>
      </c>
      <c r="S91" t="str" cm="1">
        <f t="array" ref="S91">_xlfn.IFS(L91=$L$2,"he is an "&amp;$L$2&amp;"customer",L91=$L$3,"he is an"&amp;$L$3&amp;"customer",L91=$L$4,"he is an" &amp;$L$4&amp;"customer")</f>
        <v>he is anPremiumcustomer</v>
      </c>
    </row>
    <row r="92" spans="1:19" x14ac:dyDescent="0.25">
      <c r="A92" s="2" t="s">
        <v>219</v>
      </c>
      <c r="B92" s="5">
        <v>45517</v>
      </c>
      <c r="C92" s="2" t="s">
        <v>38</v>
      </c>
      <c r="D92" s="8" t="s">
        <v>39</v>
      </c>
      <c r="E92" s="2" t="s">
        <v>126</v>
      </c>
      <c r="F92" s="2" t="s">
        <v>127</v>
      </c>
      <c r="G92" s="2" t="s">
        <v>46</v>
      </c>
      <c r="H92" s="14">
        <v>4</v>
      </c>
      <c r="I92" s="11">
        <v>199.99</v>
      </c>
      <c r="J92" s="2" t="s">
        <v>20</v>
      </c>
      <c r="K92" s="2" t="s">
        <v>40</v>
      </c>
      <c r="L92" s="2" t="s">
        <v>36</v>
      </c>
      <c r="M92" s="3">
        <v>44458</v>
      </c>
      <c r="N92" s="11">
        <v>799.96</v>
      </c>
      <c r="O92" s="8" t="s">
        <v>39</v>
      </c>
      <c r="P92" t="str">
        <f t="shared" si="2"/>
        <v>Furniture</v>
      </c>
      <c r="Q92">
        <f>INDEX(D91:N341,MATCH(O92,D92:$D$251,0),11)</f>
        <v>749.97</v>
      </c>
      <c r="R92" t="str">
        <f t="shared" si="3"/>
        <v>your customer is not Premium customer</v>
      </c>
      <c r="S92" t="str" cm="1">
        <f t="array" ref="S92">_xlfn.IFS(L92=$L$2,"he is an "&amp;$L$2&amp;"customer",L92=$L$3,"he is an"&amp;$L$3&amp;"customer",L92=$L$4,"he is an" &amp;$L$4&amp;"customer")</f>
        <v>he is anStandardcustomer</v>
      </c>
    </row>
    <row r="93" spans="1:19" x14ac:dyDescent="0.25">
      <c r="A93" s="2" t="s">
        <v>220</v>
      </c>
      <c r="B93" s="5">
        <v>45519</v>
      </c>
      <c r="C93" s="2" t="s">
        <v>158</v>
      </c>
      <c r="D93" s="8" t="s">
        <v>159</v>
      </c>
      <c r="E93" s="2" t="s">
        <v>126</v>
      </c>
      <c r="F93" s="2" t="s">
        <v>127</v>
      </c>
      <c r="G93" s="2" t="s">
        <v>46</v>
      </c>
      <c r="H93" s="14">
        <v>5</v>
      </c>
      <c r="I93" s="11">
        <v>199.99</v>
      </c>
      <c r="J93" s="2" t="s">
        <v>20</v>
      </c>
      <c r="K93" s="2" t="s">
        <v>40</v>
      </c>
      <c r="L93" s="2" t="s">
        <v>27</v>
      </c>
      <c r="M93" s="3">
        <v>44991</v>
      </c>
      <c r="N93" s="11">
        <v>999.95</v>
      </c>
      <c r="O93" s="8" t="s">
        <v>159</v>
      </c>
      <c r="P93" t="str">
        <f t="shared" si="2"/>
        <v>Furniture</v>
      </c>
      <c r="Q93">
        <f>INDEX(D92:N342,MATCH(O93,D93:$D$251,0),11)</f>
        <v>799.96</v>
      </c>
      <c r="R93" t="str">
        <f t="shared" si="3"/>
        <v>Premium</v>
      </c>
      <c r="S93" t="str" cm="1">
        <f t="array" ref="S93">_xlfn.IFS(L93=$L$2,"he is an "&amp;$L$2&amp;"customer",L93=$L$3,"he is an"&amp;$L$3&amp;"customer",L93=$L$4,"he is an" &amp;$L$4&amp;"customer")</f>
        <v>he is anPremiumcustomer</v>
      </c>
    </row>
    <row r="94" spans="1:19" x14ac:dyDescent="0.25">
      <c r="A94" s="2" t="s">
        <v>221</v>
      </c>
      <c r="B94" s="5">
        <v>45522</v>
      </c>
      <c r="C94" s="2" t="s">
        <v>86</v>
      </c>
      <c r="D94" s="8" t="s">
        <v>87</v>
      </c>
      <c r="E94" s="2" t="s">
        <v>117</v>
      </c>
      <c r="F94" s="2" t="s">
        <v>118</v>
      </c>
      <c r="G94" s="2" t="s">
        <v>19</v>
      </c>
      <c r="H94" s="14">
        <v>2</v>
      </c>
      <c r="I94" s="11">
        <v>89.99</v>
      </c>
      <c r="J94" s="2" t="s">
        <v>20</v>
      </c>
      <c r="K94" s="2" t="s">
        <v>63</v>
      </c>
      <c r="L94" s="2" t="s">
        <v>27</v>
      </c>
      <c r="M94" s="3">
        <v>44972</v>
      </c>
      <c r="N94" s="11">
        <v>179.98</v>
      </c>
      <c r="O94" s="8" t="s">
        <v>87</v>
      </c>
      <c r="P94" t="str">
        <f t="shared" si="2"/>
        <v>Electronics</v>
      </c>
      <c r="Q94">
        <f>INDEX(D93:N343,MATCH(O94,D94:$D$251,0),11)</f>
        <v>999.95</v>
      </c>
      <c r="R94" t="str">
        <f t="shared" si="3"/>
        <v>Premium</v>
      </c>
      <c r="S94" t="str" cm="1">
        <f t="array" ref="S94">_xlfn.IFS(L94=$L$2,"he is an "&amp;$L$2&amp;"customer",L94=$L$3,"he is an"&amp;$L$3&amp;"customer",L94=$L$4,"he is an" &amp;$L$4&amp;"customer")</f>
        <v>he is anPremiumcustomer</v>
      </c>
    </row>
    <row r="95" spans="1:19" x14ac:dyDescent="0.25">
      <c r="A95" s="2" t="s">
        <v>222</v>
      </c>
      <c r="B95" s="5">
        <v>45523</v>
      </c>
      <c r="C95" s="2" t="s">
        <v>196</v>
      </c>
      <c r="D95" s="8" t="s">
        <v>197</v>
      </c>
      <c r="E95" s="2" t="s">
        <v>61</v>
      </c>
      <c r="F95" s="2" t="s">
        <v>62</v>
      </c>
      <c r="G95" s="2" t="s">
        <v>19</v>
      </c>
      <c r="H95" s="14">
        <v>5</v>
      </c>
      <c r="I95" s="11">
        <v>899.99</v>
      </c>
      <c r="J95" s="2" t="s">
        <v>57</v>
      </c>
      <c r="K95" s="2" t="s">
        <v>63</v>
      </c>
      <c r="L95" s="2" t="s">
        <v>22</v>
      </c>
      <c r="M95" s="3">
        <v>44526</v>
      </c>
      <c r="N95" s="11">
        <v>4499.95</v>
      </c>
      <c r="O95" s="8" t="s">
        <v>197</v>
      </c>
      <c r="P95" t="str">
        <f t="shared" si="2"/>
        <v>Electronics</v>
      </c>
      <c r="Q95">
        <f>INDEX(D94:N344,MATCH(O95,D95:$D$251,0),11)</f>
        <v>179.98</v>
      </c>
      <c r="R95" t="str">
        <f t="shared" si="3"/>
        <v>your customer is not Premium customer</v>
      </c>
      <c r="S95" t="str" cm="1">
        <f t="array" ref="S95">_xlfn.IFS(L95=$L$2,"he is an "&amp;$L$2&amp;"customer",L95=$L$3,"he is an"&amp;$L$3&amp;"customer",L95=$L$4,"he is an" &amp;$L$4&amp;"customer")</f>
        <v>he is an Basiccustomer</v>
      </c>
    </row>
    <row r="96" spans="1:19" x14ac:dyDescent="0.25">
      <c r="A96" s="2" t="s">
        <v>223</v>
      </c>
      <c r="B96" s="5">
        <v>45523</v>
      </c>
      <c r="C96" s="2" t="s">
        <v>108</v>
      </c>
      <c r="D96" s="8" t="s">
        <v>109</v>
      </c>
      <c r="E96" s="2" t="s">
        <v>52</v>
      </c>
      <c r="F96" s="2" t="s">
        <v>53</v>
      </c>
      <c r="G96" s="2" t="s">
        <v>19</v>
      </c>
      <c r="H96" s="14">
        <v>3</v>
      </c>
      <c r="I96" s="11">
        <v>149.99</v>
      </c>
      <c r="J96" s="2" t="s">
        <v>34</v>
      </c>
      <c r="K96" s="2" t="s">
        <v>63</v>
      </c>
      <c r="L96" s="2" t="s">
        <v>22</v>
      </c>
      <c r="M96" s="3">
        <v>44574</v>
      </c>
      <c r="N96" s="11">
        <v>449.97</v>
      </c>
      <c r="O96" s="8" t="s">
        <v>109</v>
      </c>
      <c r="P96" t="str">
        <f t="shared" si="2"/>
        <v>Electronics</v>
      </c>
      <c r="Q96">
        <f>INDEX(D95:N345,MATCH(O96,D96:$D$251,0),11)</f>
        <v>4499.95</v>
      </c>
      <c r="R96" t="str">
        <f t="shared" si="3"/>
        <v>your customer is not Premium customer</v>
      </c>
      <c r="S96" t="str" cm="1">
        <f t="array" ref="S96">_xlfn.IFS(L96=$L$2,"he is an "&amp;$L$2&amp;"customer",L96=$L$3,"he is an"&amp;$L$3&amp;"customer",L96=$L$4,"he is an" &amp;$L$4&amp;"customer")</f>
        <v>he is an Basiccustomer</v>
      </c>
    </row>
    <row r="97" spans="1:19" x14ac:dyDescent="0.25">
      <c r="A97" s="2" t="s">
        <v>224</v>
      </c>
      <c r="B97" s="5">
        <v>45526</v>
      </c>
      <c r="C97" s="2" t="s">
        <v>102</v>
      </c>
      <c r="D97" s="8" t="s">
        <v>103</v>
      </c>
      <c r="E97" s="2" t="s">
        <v>44</v>
      </c>
      <c r="F97" s="2" t="s">
        <v>45</v>
      </c>
      <c r="G97" s="2" t="s">
        <v>46</v>
      </c>
      <c r="H97" s="14">
        <v>5</v>
      </c>
      <c r="I97" s="11">
        <v>149.99</v>
      </c>
      <c r="J97" s="2" t="s">
        <v>26</v>
      </c>
      <c r="K97" s="2" t="s">
        <v>21</v>
      </c>
      <c r="L97" s="2" t="s">
        <v>22</v>
      </c>
      <c r="M97" s="3">
        <v>45310</v>
      </c>
      <c r="N97" s="11">
        <v>749.95</v>
      </c>
      <c r="O97" s="8" t="s">
        <v>103</v>
      </c>
      <c r="P97" t="str">
        <f t="shared" si="2"/>
        <v>Furniture</v>
      </c>
      <c r="Q97">
        <f>INDEX(D96:N346,MATCH(O97,D97:$D$251,0),11)</f>
        <v>449.97</v>
      </c>
      <c r="R97" t="str">
        <f t="shared" si="3"/>
        <v>your customer is not Premium customer</v>
      </c>
      <c r="S97" t="str" cm="1">
        <f t="array" ref="S97">_xlfn.IFS(L97=$L$2,"he is an "&amp;$L$2&amp;"customer",L97=$L$3,"he is an"&amp;$L$3&amp;"customer",L97=$L$4,"he is an" &amp;$L$4&amp;"customer")</f>
        <v>he is an Basiccustomer</v>
      </c>
    </row>
    <row r="98" spans="1:19" x14ac:dyDescent="0.25">
      <c r="A98" s="2" t="s">
        <v>225</v>
      </c>
      <c r="B98" s="5">
        <v>45528</v>
      </c>
      <c r="C98" s="2" t="s">
        <v>226</v>
      </c>
      <c r="D98" s="8" t="s">
        <v>227</v>
      </c>
      <c r="E98" s="2" t="s">
        <v>114</v>
      </c>
      <c r="F98" s="2" t="s">
        <v>115</v>
      </c>
      <c r="G98" s="2" t="s">
        <v>33</v>
      </c>
      <c r="H98" s="14">
        <v>3</v>
      </c>
      <c r="I98" s="11">
        <v>79.989999999999995</v>
      </c>
      <c r="J98" s="2" t="s">
        <v>20</v>
      </c>
      <c r="K98" s="2" t="s">
        <v>21</v>
      </c>
      <c r="L98" s="2" t="s">
        <v>27</v>
      </c>
      <c r="M98" s="3">
        <v>44779</v>
      </c>
      <c r="N98" s="11">
        <v>239.97</v>
      </c>
      <c r="O98" s="8" t="s">
        <v>227</v>
      </c>
      <c r="P98" t="str">
        <f t="shared" si="2"/>
        <v>Appliances</v>
      </c>
      <c r="Q98">
        <f>INDEX(D97:N347,MATCH(O98,D98:$D$251,0),11)</f>
        <v>749.95</v>
      </c>
      <c r="R98" t="str">
        <f t="shared" si="3"/>
        <v>Premium</v>
      </c>
      <c r="S98" t="str" cm="1">
        <f t="array" ref="S98">_xlfn.IFS(L98=$L$2,"he is an "&amp;$L$2&amp;"customer",L98=$L$3,"he is an"&amp;$L$3&amp;"customer",L98=$L$4,"he is an" &amp;$L$4&amp;"customer")</f>
        <v>he is anPremiumcustomer</v>
      </c>
    </row>
    <row r="99" spans="1:19" x14ac:dyDescent="0.25">
      <c r="A99" s="2" t="s">
        <v>228</v>
      </c>
      <c r="B99" s="5">
        <v>45528</v>
      </c>
      <c r="C99" s="2" t="s">
        <v>144</v>
      </c>
      <c r="D99" s="8" t="s">
        <v>145</v>
      </c>
      <c r="E99" s="2" t="s">
        <v>17</v>
      </c>
      <c r="F99" s="2" t="s">
        <v>18</v>
      </c>
      <c r="G99" s="2" t="s">
        <v>19</v>
      </c>
      <c r="H99" s="14">
        <v>2</v>
      </c>
      <c r="I99" s="11">
        <v>249.99</v>
      </c>
      <c r="J99" s="2" t="s">
        <v>20</v>
      </c>
      <c r="K99" s="2" t="s">
        <v>35</v>
      </c>
      <c r="L99" s="2" t="s">
        <v>36</v>
      </c>
      <c r="M99" s="3">
        <v>44572</v>
      </c>
      <c r="N99" s="11">
        <v>499.98</v>
      </c>
      <c r="O99" s="8" t="s">
        <v>145</v>
      </c>
      <c r="P99" t="str">
        <f t="shared" si="2"/>
        <v>Electronics</v>
      </c>
      <c r="Q99">
        <f>INDEX(D98:N348,MATCH(O99,D99:$D$251,0),11)</f>
        <v>239.97</v>
      </c>
      <c r="R99" t="str">
        <f t="shared" si="3"/>
        <v>your customer is not Premium customer</v>
      </c>
      <c r="S99" t="str" cm="1">
        <f t="array" ref="S99">_xlfn.IFS(L99=$L$2,"he is an "&amp;$L$2&amp;"customer",L99=$L$3,"he is an"&amp;$L$3&amp;"customer",L99=$L$4,"he is an" &amp;$L$4&amp;"customer")</f>
        <v>he is anStandardcustomer</v>
      </c>
    </row>
    <row r="100" spans="1:19" x14ac:dyDescent="0.25">
      <c r="A100" s="2" t="s">
        <v>229</v>
      </c>
      <c r="B100" s="5">
        <v>45532</v>
      </c>
      <c r="C100" s="2" t="s">
        <v>196</v>
      </c>
      <c r="D100" s="8" t="s">
        <v>197</v>
      </c>
      <c r="E100" s="2" t="s">
        <v>80</v>
      </c>
      <c r="F100" s="2" t="s">
        <v>81</v>
      </c>
      <c r="G100" s="2" t="s">
        <v>19</v>
      </c>
      <c r="H100" s="14">
        <v>1</v>
      </c>
      <c r="I100" s="11">
        <v>699.99</v>
      </c>
      <c r="J100" s="2" t="s">
        <v>20</v>
      </c>
      <c r="K100" s="2" t="s">
        <v>21</v>
      </c>
      <c r="L100" s="2" t="s">
        <v>27</v>
      </c>
      <c r="M100" s="3">
        <v>44497</v>
      </c>
      <c r="N100" s="11">
        <v>699.99</v>
      </c>
      <c r="O100" s="8" t="s">
        <v>197</v>
      </c>
      <c r="P100" t="str">
        <f t="shared" si="2"/>
        <v>Electronics</v>
      </c>
      <c r="Q100">
        <f>INDEX(D99:N349,MATCH(O100,D100:$D$251,0),11)</f>
        <v>499.98</v>
      </c>
      <c r="R100" t="str">
        <f t="shared" si="3"/>
        <v>Premium</v>
      </c>
      <c r="S100" t="str" cm="1">
        <f t="array" ref="S100">_xlfn.IFS(L100=$L$2,"he is an "&amp;$L$2&amp;"customer",L100=$L$3,"he is an"&amp;$L$3&amp;"customer",L100=$L$4,"he is an" &amp;$L$4&amp;"customer")</f>
        <v>he is anPremiumcustomer</v>
      </c>
    </row>
    <row r="101" spans="1:19" x14ac:dyDescent="0.25">
      <c r="A101" s="2" t="s">
        <v>230</v>
      </c>
      <c r="B101" s="5">
        <v>45532</v>
      </c>
      <c r="C101" s="2" t="s">
        <v>231</v>
      </c>
      <c r="D101" s="8" t="s">
        <v>232</v>
      </c>
      <c r="E101" s="2" t="s">
        <v>52</v>
      </c>
      <c r="F101" s="2" t="s">
        <v>53</v>
      </c>
      <c r="G101" s="2" t="s">
        <v>19</v>
      </c>
      <c r="H101" s="14">
        <v>3</v>
      </c>
      <c r="I101" s="11">
        <v>149.99</v>
      </c>
      <c r="J101" s="2" t="s">
        <v>20</v>
      </c>
      <c r="K101" s="2" t="s">
        <v>50</v>
      </c>
      <c r="L101" s="2" t="s">
        <v>27</v>
      </c>
      <c r="M101" s="3">
        <v>45212</v>
      </c>
      <c r="N101" s="11">
        <v>449.97</v>
      </c>
      <c r="O101" s="8" t="s">
        <v>232</v>
      </c>
      <c r="P101" t="str">
        <f t="shared" si="2"/>
        <v>Electronics</v>
      </c>
      <c r="Q101">
        <f>INDEX(D100:N350,MATCH(O101,D101:$D$251,0),11)</f>
        <v>699.99</v>
      </c>
      <c r="R101" t="str">
        <f t="shared" si="3"/>
        <v>Premium</v>
      </c>
      <c r="S101" t="str" cm="1">
        <f t="array" ref="S101">_xlfn.IFS(L101=$L$2,"he is an "&amp;$L$2&amp;"customer",L101=$L$3,"he is an"&amp;$L$3&amp;"customer",L101=$L$4,"he is an" &amp;$L$4&amp;"customer")</f>
        <v>he is anPremiumcustomer</v>
      </c>
    </row>
    <row r="102" spans="1:19" x14ac:dyDescent="0.25">
      <c r="A102" s="2" t="s">
        <v>233</v>
      </c>
      <c r="B102" s="5">
        <v>45534</v>
      </c>
      <c r="C102" s="2" t="s">
        <v>234</v>
      </c>
      <c r="D102" s="8" t="s">
        <v>235</v>
      </c>
      <c r="E102" s="2" t="s">
        <v>80</v>
      </c>
      <c r="F102" s="2" t="s">
        <v>81</v>
      </c>
      <c r="G102" s="2" t="s">
        <v>19</v>
      </c>
      <c r="H102" s="14">
        <v>2</v>
      </c>
      <c r="I102" s="11">
        <v>699.99</v>
      </c>
      <c r="J102" s="2" t="s">
        <v>26</v>
      </c>
      <c r="K102" s="2" t="s">
        <v>40</v>
      </c>
      <c r="L102" s="2" t="s">
        <v>27</v>
      </c>
      <c r="M102" s="3">
        <v>44421</v>
      </c>
      <c r="N102" s="11">
        <v>1399.98</v>
      </c>
      <c r="O102" s="8" t="s">
        <v>235</v>
      </c>
      <c r="P102" t="str">
        <f t="shared" si="2"/>
        <v>Electronics</v>
      </c>
      <c r="Q102">
        <f>INDEX(D101:N351,MATCH(O102,D102:$D$251,0),11)</f>
        <v>449.97</v>
      </c>
      <c r="R102" t="str">
        <f t="shared" si="3"/>
        <v>Premium</v>
      </c>
      <c r="S102" t="str" cm="1">
        <f t="array" ref="S102">_xlfn.IFS(L102=$L$2,"he is an "&amp;$L$2&amp;"customer",L102=$L$3,"he is an"&amp;$L$3&amp;"customer",L102=$L$4,"he is an" &amp;$L$4&amp;"customer")</f>
        <v>he is anPremiumcustomer</v>
      </c>
    </row>
    <row r="103" spans="1:19" x14ac:dyDescent="0.25">
      <c r="A103" s="2" t="s">
        <v>236</v>
      </c>
      <c r="B103" s="5">
        <v>45537</v>
      </c>
      <c r="C103" s="2" t="s">
        <v>231</v>
      </c>
      <c r="D103" s="8" t="s">
        <v>232</v>
      </c>
      <c r="E103" s="2" t="s">
        <v>17</v>
      </c>
      <c r="F103" s="2" t="s">
        <v>18</v>
      </c>
      <c r="G103" s="2" t="s">
        <v>19</v>
      </c>
      <c r="H103" s="14">
        <v>1</v>
      </c>
      <c r="I103" s="11">
        <v>249.99</v>
      </c>
      <c r="J103" s="2" t="s">
        <v>26</v>
      </c>
      <c r="K103" s="2" t="s">
        <v>50</v>
      </c>
      <c r="L103" s="2" t="s">
        <v>27</v>
      </c>
      <c r="M103" s="3">
        <v>44685</v>
      </c>
      <c r="N103" s="11">
        <v>249.99</v>
      </c>
      <c r="O103" s="8" t="s">
        <v>232</v>
      </c>
      <c r="P103" t="str">
        <f t="shared" si="2"/>
        <v>Electronics</v>
      </c>
      <c r="Q103">
        <f>INDEX(D102:N352,MATCH(O103,D103:$D$251,0),11)</f>
        <v>1399.98</v>
      </c>
      <c r="R103" t="str">
        <f t="shared" si="3"/>
        <v>Premium</v>
      </c>
      <c r="S103" t="str" cm="1">
        <f t="array" ref="S103">_xlfn.IFS(L103=$L$2,"he is an "&amp;$L$2&amp;"customer",L103=$L$3,"he is an"&amp;$L$3&amp;"customer",L103=$L$4,"he is an" &amp;$L$4&amp;"customer")</f>
        <v>he is anPremiumcustomer</v>
      </c>
    </row>
    <row r="104" spans="1:19" x14ac:dyDescent="0.25">
      <c r="A104" s="2" t="s">
        <v>237</v>
      </c>
      <c r="B104" s="5">
        <v>45537</v>
      </c>
      <c r="C104" s="2" t="s">
        <v>15</v>
      </c>
      <c r="D104" s="8" t="s">
        <v>16</v>
      </c>
      <c r="E104" s="2" t="s">
        <v>17</v>
      </c>
      <c r="F104" s="2" t="s">
        <v>18</v>
      </c>
      <c r="G104" s="2" t="s">
        <v>19</v>
      </c>
      <c r="H104" s="14">
        <v>1</v>
      </c>
      <c r="I104" s="11">
        <v>249.99</v>
      </c>
      <c r="J104" s="2" t="s">
        <v>57</v>
      </c>
      <c r="K104" s="2" t="s">
        <v>40</v>
      </c>
      <c r="L104" s="2" t="s">
        <v>27</v>
      </c>
      <c r="M104" s="3">
        <v>45332</v>
      </c>
      <c r="N104" s="11">
        <v>249.99</v>
      </c>
      <c r="O104" s="8" t="s">
        <v>16</v>
      </c>
      <c r="P104" t="str">
        <f t="shared" si="2"/>
        <v>Electronics</v>
      </c>
      <c r="Q104">
        <f>INDEX(D103:N353,MATCH(O104,D104:$D$251,0),11)</f>
        <v>249.99</v>
      </c>
      <c r="R104" t="str">
        <f t="shared" si="3"/>
        <v>Premium</v>
      </c>
      <c r="S104" t="str" cm="1">
        <f t="array" ref="S104">_xlfn.IFS(L104=$L$2,"he is an "&amp;$L$2&amp;"customer",L104=$L$3,"he is an"&amp;$L$3&amp;"customer",L104=$L$4,"he is an" &amp;$L$4&amp;"customer")</f>
        <v>he is anPremiumcustomer</v>
      </c>
    </row>
    <row r="105" spans="1:19" x14ac:dyDescent="0.25">
      <c r="A105" s="2" t="s">
        <v>238</v>
      </c>
      <c r="B105" s="5">
        <v>45538</v>
      </c>
      <c r="C105" s="2" t="s">
        <v>226</v>
      </c>
      <c r="D105" s="8" t="s">
        <v>227</v>
      </c>
      <c r="E105" s="2" t="s">
        <v>80</v>
      </c>
      <c r="F105" s="2" t="s">
        <v>81</v>
      </c>
      <c r="G105" s="2" t="s">
        <v>19</v>
      </c>
      <c r="H105" s="14">
        <v>2</v>
      </c>
      <c r="I105" s="11">
        <v>699.99</v>
      </c>
      <c r="J105" s="2" t="s">
        <v>57</v>
      </c>
      <c r="K105" s="2" t="s">
        <v>21</v>
      </c>
      <c r="L105" s="2" t="s">
        <v>27</v>
      </c>
      <c r="M105" s="3">
        <v>44870</v>
      </c>
      <c r="N105" s="11">
        <v>1399.98</v>
      </c>
      <c r="O105" s="8" t="s">
        <v>227</v>
      </c>
      <c r="P105" t="str">
        <f t="shared" si="2"/>
        <v>Electronics</v>
      </c>
      <c r="Q105">
        <f>INDEX(D104:N354,MATCH(O105,D105:$D$251,0),11)</f>
        <v>249.99</v>
      </c>
      <c r="R105" t="str">
        <f t="shared" si="3"/>
        <v>Premium</v>
      </c>
      <c r="S105" t="str" cm="1">
        <f t="array" ref="S105">_xlfn.IFS(L105=$L$2,"he is an "&amp;$L$2&amp;"customer",L105=$L$3,"he is an"&amp;$L$3&amp;"customer",L105=$L$4,"he is an" &amp;$L$4&amp;"customer")</f>
        <v>he is anPremiumcustomer</v>
      </c>
    </row>
    <row r="106" spans="1:19" x14ac:dyDescent="0.25">
      <c r="A106" s="2" t="s">
        <v>239</v>
      </c>
      <c r="B106" s="5">
        <v>45541</v>
      </c>
      <c r="C106" s="2" t="s">
        <v>138</v>
      </c>
      <c r="D106" s="8" t="s">
        <v>139</v>
      </c>
      <c r="E106" s="2" t="s">
        <v>31</v>
      </c>
      <c r="F106" s="2" t="s">
        <v>32</v>
      </c>
      <c r="G106" s="2" t="s">
        <v>33</v>
      </c>
      <c r="H106" s="14">
        <v>3</v>
      </c>
      <c r="I106" s="11">
        <v>59.99</v>
      </c>
      <c r="J106" s="2" t="s">
        <v>26</v>
      </c>
      <c r="K106" s="2" t="s">
        <v>21</v>
      </c>
      <c r="L106" s="2" t="s">
        <v>27</v>
      </c>
      <c r="M106" s="3">
        <v>44717</v>
      </c>
      <c r="N106" s="11">
        <v>179.97</v>
      </c>
      <c r="O106" s="8" t="s">
        <v>139</v>
      </c>
      <c r="P106" t="str">
        <f t="shared" si="2"/>
        <v>Appliances</v>
      </c>
      <c r="Q106">
        <f>INDEX(D105:N355,MATCH(O106,D106:$D$251,0),11)</f>
        <v>1399.98</v>
      </c>
      <c r="R106" t="str">
        <f t="shared" si="3"/>
        <v>Premium</v>
      </c>
      <c r="S106" t="str" cm="1">
        <f t="array" ref="S106">_xlfn.IFS(L106=$L$2,"he is an "&amp;$L$2&amp;"customer",L106=$L$3,"he is an"&amp;$L$3&amp;"customer",L106=$L$4,"he is an" &amp;$L$4&amp;"customer")</f>
        <v>he is anPremiumcustomer</v>
      </c>
    </row>
    <row r="107" spans="1:19" x14ac:dyDescent="0.25">
      <c r="A107" s="2" t="s">
        <v>240</v>
      </c>
      <c r="B107" s="5">
        <v>45544</v>
      </c>
      <c r="C107" s="2" t="s">
        <v>132</v>
      </c>
      <c r="D107" s="8" t="s">
        <v>133</v>
      </c>
      <c r="E107" s="2" t="s">
        <v>31</v>
      </c>
      <c r="F107" s="2" t="s">
        <v>32</v>
      </c>
      <c r="G107" s="2" t="s">
        <v>33</v>
      </c>
      <c r="H107" s="14">
        <v>3</v>
      </c>
      <c r="I107" s="11">
        <v>59.99</v>
      </c>
      <c r="J107" s="2" t="s">
        <v>34</v>
      </c>
      <c r="K107" s="2" t="s">
        <v>63</v>
      </c>
      <c r="L107" s="2" t="s">
        <v>36</v>
      </c>
      <c r="M107" s="3">
        <v>44748</v>
      </c>
      <c r="N107" s="11">
        <v>179.97</v>
      </c>
      <c r="O107" s="8" t="s">
        <v>133</v>
      </c>
      <c r="P107" t="str">
        <f t="shared" si="2"/>
        <v>Appliances</v>
      </c>
      <c r="Q107">
        <f>INDEX(D106:N356,MATCH(O107,D107:$D$251,0),11)</f>
        <v>179.97</v>
      </c>
      <c r="R107" t="str">
        <f t="shared" si="3"/>
        <v>your customer is not Premium customer</v>
      </c>
      <c r="S107" t="str" cm="1">
        <f t="array" ref="S107">_xlfn.IFS(L107=$L$2,"he is an "&amp;$L$2&amp;"customer",L107=$L$3,"he is an"&amp;$L$3&amp;"customer",L107=$L$4,"he is an" &amp;$L$4&amp;"customer")</f>
        <v>he is anStandardcustomer</v>
      </c>
    </row>
    <row r="108" spans="1:19" x14ac:dyDescent="0.25">
      <c r="A108" s="2" t="s">
        <v>241</v>
      </c>
      <c r="B108" s="5">
        <v>45544</v>
      </c>
      <c r="C108" s="2" t="s">
        <v>141</v>
      </c>
      <c r="D108" s="8" t="s">
        <v>142</v>
      </c>
      <c r="E108" s="2" t="s">
        <v>114</v>
      </c>
      <c r="F108" s="2" t="s">
        <v>115</v>
      </c>
      <c r="G108" s="2" t="s">
        <v>33</v>
      </c>
      <c r="H108" s="14">
        <v>4</v>
      </c>
      <c r="I108" s="11">
        <v>79.989999999999995</v>
      </c>
      <c r="J108" s="2" t="s">
        <v>20</v>
      </c>
      <c r="K108" s="2" t="s">
        <v>40</v>
      </c>
      <c r="L108" s="2" t="s">
        <v>22</v>
      </c>
      <c r="M108" s="3">
        <v>44530</v>
      </c>
      <c r="N108" s="11">
        <v>319.95999999999998</v>
      </c>
      <c r="O108" s="8" t="s">
        <v>142</v>
      </c>
      <c r="P108" t="str">
        <f t="shared" si="2"/>
        <v>Appliances</v>
      </c>
      <c r="Q108">
        <f>INDEX(D107:N357,MATCH(O108,D108:$D$251,0),11)</f>
        <v>179.97</v>
      </c>
      <c r="R108" t="str">
        <f t="shared" si="3"/>
        <v>your customer is not Premium customer</v>
      </c>
      <c r="S108" t="str" cm="1">
        <f t="array" ref="S108">_xlfn.IFS(L108=$L$2,"he is an "&amp;$L$2&amp;"customer",L108=$L$3,"he is an"&amp;$L$3&amp;"customer",L108=$L$4,"he is an" &amp;$L$4&amp;"customer")</f>
        <v>he is an Basiccustomer</v>
      </c>
    </row>
    <row r="109" spans="1:19" x14ac:dyDescent="0.25">
      <c r="A109" s="2" t="s">
        <v>242</v>
      </c>
      <c r="B109" s="5">
        <v>45545</v>
      </c>
      <c r="C109" s="2" t="s">
        <v>55</v>
      </c>
      <c r="D109" s="8" t="s">
        <v>56</v>
      </c>
      <c r="E109" s="2" t="s">
        <v>114</v>
      </c>
      <c r="F109" s="2" t="s">
        <v>115</v>
      </c>
      <c r="G109" s="2" t="s">
        <v>33</v>
      </c>
      <c r="H109" s="14">
        <v>1</v>
      </c>
      <c r="I109" s="11">
        <v>79.989999999999995</v>
      </c>
      <c r="J109" s="2" t="s">
        <v>20</v>
      </c>
      <c r="K109" s="2" t="s">
        <v>50</v>
      </c>
      <c r="L109" s="2" t="s">
        <v>22</v>
      </c>
      <c r="M109" s="3">
        <v>44693</v>
      </c>
      <c r="N109" s="11">
        <v>79.989999999999995</v>
      </c>
      <c r="O109" s="8" t="s">
        <v>56</v>
      </c>
      <c r="P109" t="str">
        <f t="shared" si="2"/>
        <v>Appliances</v>
      </c>
      <c r="Q109">
        <f>INDEX(D108:N358,MATCH(O109,D109:$D$251,0),11)</f>
        <v>319.95999999999998</v>
      </c>
      <c r="R109" t="str">
        <f t="shared" si="3"/>
        <v>your customer is not Premium customer</v>
      </c>
      <c r="S109" t="str" cm="1">
        <f t="array" ref="S109">_xlfn.IFS(L109=$L$2,"he is an "&amp;$L$2&amp;"customer",L109=$L$3,"he is an"&amp;$L$3&amp;"customer",L109=$L$4,"he is an" &amp;$L$4&amp;"customer")</f>
        <v>he is an Basiccustomer</v>
      </c>
    </row>
    <row r="110" spans="1:19" x14ac:dyDescent="0.25">
      <c r="A110" s="2" t="s">
        <v>243</v>
      </c>
      <c r="B110" s="5">
        <v>45547</v>
      </c>
      <c r="C110" s="2" t="s">
        <v>48</v>
      </c>
      <c r="D110" s="8" t="s">
        <v>49</v>
      </c>
      <c r="E110" s="2" t="s">
        <v>105</v>
      </c>
      <c r="F110" s="2" t="s">
        <v>106</v>
      </c>
      <c r="G110" s="2" t="s">
        <v>46</v>
      </c>
      <c r="H110" s="14">
        <v>3</v>
      </c>
      <c r="I110" s="11">
        <v>299.99</v>
      </c>
      <c r="J110" s="2" t="s">
        <v>26</v>
      </c>
      <c r="K110" s="2" t="s">
        <v>21</v>
      </c>
      <c r="L110" s="2" t="s">
        <v>27</v>
      </c>
      <c r="M110" s="3">
        <v>44494</v>
      </c>
      <c r="N110" s="11">
        <v>899.97</v>
      </c>
      <c r="O110" s="8" t="s">
        <v>49</v>
      </c>
      <c r="P110" t="str">
        <f t="shared" si="2"/>
        <v>Furniture</v>
      </c>
      <c r="Q110">
        <f>INDEX(D109:N359,MATCH(O110,D110:$D$251,0),11)</f>
        <v>79.989999999999995</v>
      </c>
      <c r="R110" t="str">
        <f t="shared" si="3"/>
        <v>Premium</v>
      </c>
      <c r="S110" t="str" cm="1">
        <f t="array" ref="S110">_xlfn.IFS(L110=$L$2,"he is an "&amp;$L$2&amp;"customer",L110=$L$3,"he is an"&amp;$L$3&amp;"customer",L110=$L$4,"he is an" &amp;$L$4&amp;"customer")</f>
        <v>he is anPremiumcustomer</v>
      </c>
    </row>
    <row r="111" spans="1:19" x14ac:dyDescent="0.25">
      <c r="A111" s="2" t="s">
        <v>244</v>
      </c>
      <c r="B111" s="5">
        <v>45548</v>
      </c>
      <c r="C111" s="2" t="s">
        <v>38</v>
      </c>
      <c r="D111" s="8" t="s">
        <v>39</v>
      </c>
      <c r="E111" s="2" t="s">
        <v>117</v>
      </c>
      <c r="F111" s="2" t="s">
        <v>118</v>
      </c>
      <c r="G111" s="2" t="s">
        <v>19</v>
      </c>
      <c r="H111" s="14">
        <v>2</v>
      </c>
      <c r="I111" s="11">
        <v>89.99</v>
      </c>
      <c r="J111" s="2" t="s">
        <v>26</v>
      </c>
      <c r="K111" s="2" t="s">
        <v>35</v>
      </c>
      <c r="L111" s="2" t="s">
        <v>27</v>
      </c>
      <c r="M111" s="3">
        <v>44641</v>
      </c>
      <c r="N111" s="11">
        <v>179.98</v>
      </c>
      <c r="O111" s="8" t="s">
        <v>39</v>
      </c>
      <c r="P111" t="str">
        <f t="shared" si="2"/>
        <v>Electronics</v>
      </c>
      <c r="Q111">
        <f>INDEX(D110:N360,MATCH(O111,D111:$D$251,0),11)</f>
        <v>899.97</v>
      </c>
      <c r="R111" t="str">
        <f t="shared" si="3"/>
        <v>Premium</v>
      </c>
      <c r="S111" t="str" cm="1">
        <f t="array" ref="S111">_xlfn.IFS(L111=$L$2,"he is an "&amp;$L$2&amp;"customer",L111=$L$3,"he is an"&amp;$L$3&amp;"customer",L111=$L$4,"he is an" &amp;$L$4&amp;"customer")</f>
        <v>he is anPremiumcustomer</v>
      </c>
    </row>
    <row r="112" spans="1:19" x14ac:dyDescent="0.25">
      <c r="A112" s="2" t="s">
        <v>245</v>
      </c>
      <c r="B112" s="5">
        <v>45550</v>
      </c>
      <c r="C112" s="2" t="s">
        <v>246</v>
      </c>
      <c r="D112" s="8" t="s">
        <v>247</v>
      </c>
      <c r="E112" s="2" t="s">
        <v>52</v>
      </c>
      <c r="F112" s="2" t="s">
        <v>53</v>
      </c>
      <c r="G112" s="2" t="s">
        <v>19</v>
      </c>
      <c r="H112" s="14">
        <v>4</v>
      </c>
      <c r="I112" s="11">
        <v>149.99</v>
      </c>
      <c r="J112" s="2" t="s">
        <v>20</v>
      </c>
      <c r="K112" s="2" t="s">
        <v>40</v>
      </c>
      <c r="L112" s="2" t="s">
        <v>22</v>
      </c>
      <c r="M112" s="3">
        <v>44909</v>
      </c>
      <c r="N112" s="11">
        <v>599.96</v>
      </c>
      <c r="O112" s="8" t="s">
        <v>247</v>
      </c>
      <c r="P112" t="str">
        <f t="shared" si="2"/>
        <v>Electronics</v>
      </c>
      <c r="Q112">
        <f>INDEX(D111:N361,MATCH(O112,D112:$D$251,0),11)</f>
        <v>179.98</v>
      </c>
      <c r="R112" t="str">
        <f t="shared" si="3"/>
        <v>your customer is not Premium customer</v>
      </c>
      <c r="S112" t="str" cm="1">
        <f t="array" ref="S112">_xlfn.IFS(L112=$L$2,"he is an "&amp;$L$2&amp;"customer",L112=$L$3,"he is an"&amp;$L$3&amp;"customer",L112=$L$4,"he is an" &amp;$L$4&amp;"customer")</f>
        <v>he is an Basiccustomer</v>
      </c>
    </row>
    <row r="113" spans="1:19" x14ac:dyDescent="0.25">
      <c r="A113" s="2" t="s">
        <v>248</v>
      </c>
      <c r="B113" s="5">
        <v>45551</v>
      </c>
      <c r="C113" s="2" t="s">
        <v>65</v>
      </c>
      <c r="D113" s="8" t="s">
        <v>66</v>
      </c>
      <c r="E113" s="2" t="s">
        <v>17</v>
      </c>
      <c r="F113" s="2" t="s">
        <v>18</v>
      </c>
      <c r="G113" s="2" t="s">
        <v>19</v>
      </c>
      <c r="H113" s="14">
        <v>2</v>
      </c>
      <c r="I113" s="11">
        <v>249.99</v>
      </c>
      <c r="J113" s="2" t="s">
        <v>34</v>
      </c>
      <c r="K113" s="2" t="s">
        <v>35</v>
      </c>
      <c r="L113" s="2" t="s">
        <v>22</v>
      </c>
      <c r="M113" s="3">
        <v>44993</v>
      </c>
      <c r="N113" s="11">
        <v>499.98</v>
      </c>
      <c r="O113" s="8" t="s">
        <v>66</v>
      </c>
      <c r="P113" t="str">
        <f t="shared" si="2"/>
        <v>Electronics</v>
      </c>
      <c r="Q113">
        <f>INDEX(D112:N362,MATCH(O113,D113:$D$251,0),11)</f>
        <v>599.96</v>
      </c>
      <c r="R113" t="str">
        <f t="shared" si="3"/>
        <v>your customer is not Premium customer</v>
      </c>
      <c r="S113" t="str" cm="1">
        <f t="array" ref="S113">_xlfn.IFS(L113=$L$2,"he is an "&amp;$L$2&amp;"customer",L113=$L$3,"he is an"&amp;$L$3&amp;"customer",L113=$L$4,"he is an" &amp;$L$4&amp;"customer")</f>
        <v>he is an Basiccustomer</v>
      </c>
    </row>
    <row r="114" spans="1:19" x14ac:dyDescent="0.25">
      <c r="A114" s="2" t="s">
        <v>249</v>
      </c>
      <c r="B114" s="5">
        <v>45551</v>
      </c>
      <c r="C114" s="2" t="s">
        <v>154</v>
      </c>
      <c r="D114" s="8" t="s">
        <v>155</v>
      </c>
      <c r="E114" s="2" t="s">
        <v>126</v>
      </c>
      <c r="F114" s="2" t="s">
        <v>127</v>
      </c>
      <c r="G114" s="2" t="s">
        <v>46</v>
      </c>
      <c r="H114" s="14">
        <v>4</v>
      </c>
      <c r="I114" s="11">
        <v>199.99</v>
      </c>
      <c r="J114" s="2" t="s">
        <v>57</v>
      </c>
      <c r="K114" s="2" t="s">
        <v>63</v>
      </c>
      <c r="L114" s="2" t="s">
        <v>22</v>
      </c>
      <c r="M114" s="3">
        <v>44458</v>
      </c>
      <c r="N114" s="11">
        <v>799.96</v>
      </c>
      <c r="O114" s="8" t="s">
        <v>155</v>
      </c>
      <c r="P114" t="str">
        <f t="shared" si="2"/>
        <v>Furniture</v>
      </c>
      <c r="Q114">
        <f>INDEX(D113:N363,MATCH(O114,D114:$D$251,0),11)</f>
        <v>499.98</v>
      </c>
      <c r="R114" t="str">
        <f t="shared" si="3"/>
        <v>your customer is not Premium customer</v>
      </c>
      <c r="S114" t="str" cm="1">
        <f t="array" ref="S114">_xlfn.IFS(L114=$L$2,"he is an "&amp;$L$2&amp;"customer",L114=$L$3,"he is an"&amp;$L$3&amp;"customer",L114=$L$4,"he is an" &amp;$L$4&amp;"customer")</f>
        <v>he is an Basiccustomer</v>
      </c>
    </row>
    <row r="115" spans="1:19" x14ac:dyDescent="0.25">
      <c r="A115" s="2" t="s">
        <v>250</v>
      </c>
      <c r="B115" s="5">
        <v>45554</v>
      </c>
      <c r="C115" s="2" t="s">
        <v>147</v>
      </c>
      <c r="D115" s="8" t="s">
        <v>148</v>
      </c>
      <c r="E115" s="2" t="s">
        <v>117</v>
      </c>
      <c r="F115" s="2" t="s">
        <v>118</v>
      </c>
      <c r="G115" s="2" t="s">
        <v>19</v>
      </c>
      <c r="H115" s="14">
        <v>5</v>
      </c>
      <c r="I115" s="11">
        <v>89.99</v>
      </c>
      <c r="J115" s="2" t="s">
        <v>26</v>
      </c>
      <c r="K115" s="2" t="s">
        <v>63</v>
      </c>
      <c r="L115" s="2" t="s">
        <v>27</v>
      </c>
      <c r="M115" s="3">
        <v>44446</v>
      </c>
      <c r="N115" s="11">
        <v>449.95</v>
      </c>
      <c r="O115" s="8" t="s">
        <v>148</v>
      </c>
      <c r="P115" t="str">
        <f t="shared" si="2"/>
        <v>Electronics</v>
      </c>
      <c r="Q115">
        <f>INDEX(D114:N364,MATCH(O115,D115:$D$251,0),11)</f>
        <v>799.96</v>
      </c>
      <c r="R115" t="str">
        <f t="shared" si="3"/>
        <v>Premium</v>
      </c>
      <c r="S115" t="str" cm="1">
        <f t="array" ref="S115">_xlfn.IFS(L115=$L$2,"he is an "&amp;$L$2&amp;"customer",L115=$L$3,"he is an"&amp;$L$3&amp;"customer",L115=$L$4,"he is an" &amp;$L$4&amp;"customer")</f>
        <v>he is anPremiumcustomer</v>
      </c>
    </row>
    <row r="116" spans="1:19" x14ac:dyDescent="0.25">
      <c r="A116" s="2" t="s">
        <v>251</v>
      </c>
      <c r="B116" s="5">
        <v>45554</v>
      </c>
      <c r="C116" s="2" t="s">
        <v>252</v>
      </c>
      <c r="D116" s="8" t="s">
        <v>253</v>
      </c>
      <c r="E116" s="2" t="s">
        <v>52</v>
      </c>
      <c r="F116" s="2" t="s">
        <v>53</v>
      </c>
      <c r="G116" s="2" t="s">
        <v>19</v>
      </c>
      <c r="H116" s="14">
        <v>1</v>
      </c>
      <c r="I116" s="11">
        <v>149.99</v>
      </c>
      <c r="J116" s="2" t="s">
        <v>34</v>
      </c>
      <c r="K116" s="2" t="s">
        <v>63</v>
      </c>
      <c r="L116" s="2" t="s">
        <v>36</v>
      </c>
      <c r="M116" s="3">
        <v>44482</v>
      </c>
      <c r="N116" s="11">
        <v>149.99</v>
      </c>
      <c r="O116" s="8" t="s">
        <v>253</v>
      </c>
      <c r="P116" t="str">
        <f t="shared" si="2"/>
        <v>Electronics</v>
      </c>
      <c r="Q116">
        <f>INDEX(D115:N365,MATCH(O116,D116:$D$251,0),11)</f>
        <v>449.95</v>
      </c>
      <c r="R116" t="str">
        <f t="shared" si="3"/>
        <v>your customer is not Premium customer</v>
      </c>
      <c r="S116" t="str" cm="1">
        <f t="array" ref="S116">_xlfn.IFS(L116=$L$2,"he is an "&amp;$L$2&amp;"customer",L116=$L$3,"he is an"&amp;$L$3&amp;"customer",L116=$L$4,"he is an" &amp;$L$4&amp;"customer")</f>
        <v>he is anStandardcustomer</v>
      </c>
    </row>
    <row r="117" spans="1:19" x14ac:dyDescent="0.25">
      <c r="A117" s="2" t="s">
        <v>254</v>
      </c>
      <c r="B117" s="5">
        <v>45554</v>
      </c>
      <c r="C117" s="2" t="s">
        <v>72</v>
      </c>
      <c r="D117" s="8" t="s">
        <v>73</v>
      </c>
      <c r="E117" s="2" t="s">
        <v>80</v>
      </c>
      <c r="F117" s="2" t="s">
        <v>81</v>
      </c>
      <c r="G117" s="2" t="s">
        <v>19</v>
      </c>
      <c r="H117" s="14">
        <v>4</v>
      </c>
      <c r="I117" s="11">
        <v>699.99</v>
      </c>
      <c r="J117" s="2" t="s">
        <v>34</v>
      </c>
      <c r="K117" s="2" t="s">
        <v>35</v>
      </c>
      <c r="L117" s="2" t="s">
        <v>22</v>
      </c>
      <c r="M117" s="3">
        <v>44618</v>
      </c>
      <c r="N117" s="11">
        <v>2799.96</v>
      </c>
      <c r="O117" s="8" t="s">
        <v>73</v>
      </c>
      <c r="P117" t="str">
        <f t="shared" si="2"/>
        <v>Electronics</v>
      </c>
      <c r="Q117">
        <f>INDEX(D116:N366,MATCH(O117,D117:$D$251,0),11)</f>
        <v>149.99</v>
      </c>
      <c r="R117" t="str">
        <f t="shared" si="3"/>
        <v>your customer is not Premium customer</v>
      </c>
      <c r="S117" t="str" cm="1">
        <f t="array" ref="S117">_xlfn.IFS(L117=$L$2,"he is an "&amp;$L$2&amp;"customer",L117=$L$3,"he is an"&amp;$L$3&amp;"customer",L117=$L$4,"he is an" &amp;$L$4&amp;"customer")</f>
        <v>he is an Basiccustomer</v>
      </c>
    </row>
    <row r="118" spans="1:19" x14ac:dyDescent="0.25">
      <c r="A118" s="2" t="s">
        <v>255</v>
      </c>
      <c r="B118" s="5">
        <v>45559</v>
      </c>
      <c r="C118" s="2" t="s">
        <v>234</v>
      </c>
      <c r="D118" s="8" t="s">
        <v>235</v>
      </c>
      <c r="E118" s="2" t="s">
        <v>61</v>
      </c>
      <c r="F118" s="2" t="s">
        <v>62</v>
      </c>
      <c r="G118" s="2" t="s">
        <v>19</v>
      </c>
      <c r="H118" s="14">
        <v>3</v>
      </c>
      <c r="I118" s="11">
        <v>899.99</v>
      </c>
      <c r="J118" s="2" t="s">
        <v>26</v>
      </c>
      <c r="K118" s="2" t="s">
        <v>40</v>
      </c>
      <c r="L118" s="2" t="s">
        <v>36</v>
      </c>
      <c r="M118" s="3">
        <v>45157</v>
      </c>
      <c r="N118" s="11">
        <v>2699.97</v>
      </c>
      <c r="O118" s="8" t="s">
        <v>235</v>
      </c>
      <c r="P118" t="str">
        <f t="shared" si="2"/>
        <v>Electronics</v>
      </c>
      <c r="Q118">
        <f>INDEX(D117:N367,MATCH(O118,D118:$D$251,0),11)</f>
        <v>2799.96</v>
      </c>
      <c r="R118" t="str">
        <f t="shared" si="3"/>
        <v>your customer is not Premium customer</v>
      </c>
      <c r="S118" t="str" cm="1">
        <f t="array" ref="S118">_xlfn.IFS(L118=$L$2,"he is an "&amp;$L$2&amp;"customer",L118=$L$3,"he is an"&amp;$L$3&amp;"customer",L118=$L$4,"he is an" &amp;$L$4&amp;"customer")</f>
        <v>he is anStandardcustomer</v>
      </c>
    </row>
    <row r="119" spans="1:19" x14ac:dyDescent="0.25">
      <c r="A119" s="2" t="s">
        <v>256</v>
      </c>
      <c r="B119" s="5">
        <v>45560</v>
      </c>
      <c r="C119" s="2" t="s">
        <v>112</v>
      </c>
      <c r="D119" s="8" t="s">
        <v>113</v>
      </c>
      <c r="E119" s="2" t="s">
        <v>44</v>
      </c>
      <c r="F119" s="2" t="s">
        <v>45</v>
      </c>
      <c r="G119" s="2" t="s">
        <v>46</v>
      </c>
      <c r="H119" s="14">
        <v>3</v>
      </c>
      <c r="I119" s="11">
        <v>149.99</v>
      </c>
      <c r="J119" s="2" t="s">
        <v>34</v>
      </c>
      <c r="K119" s="2" t="s">
        <v>63</v>
      </c>
      <c r="L119" s="2" t="s">
        <v>22</v>
      </c>
      <c r="M119" s="3">
        <v>44886</v>
      </c>
      <c r="N119" s="11">
        <v>449.97</v>
      </c>
      <c r="O119" s="8" t="s">
        <v>113</v>
      </c>
      <c r="P119" t="str">
        <f t="shared" si="2"/>
        <v>Furniture</v>
      </c>
      <c r="Q119">
        <f>INDEX(D118:N368,MATCH(O119,D119:$D$251,0),11)</f>
        <v>2699.97</v>
      </c>
      <c r="R119" t="str">
        <f t="shared" si="3"/>
        <v>your customer is not Premium customer</v>
      </c>
      <c r="S119" t="str" cm="1">
        <f t="array" ref="S119">_xlfn.IFS(L119=$L$2,"he is an "&amp;$L$2&amp;"customer",L119=$L$3,"he is an"&amp;$L$3&amp;"customer",L119=$L$4,"he is an" &amp;$L$4&amp;"customer")</f>
        <v>he is an Basiccustomer</v>
      </c>
    </row>
    <row r="120" spans="1:19" x14ac:dyDescent="0.25">
      <c r="A120" s="2" t="s">
        <v>257</v>
      </c>
      <c r="B120" s="5">
        <v>45563</v>
      </c>
      <c r="C120" s="2" t="s">
        <v>99</v>
      </c>
      <c r="D120" s="8" t="s">
        <v>100</v>
      </c>
      <c r="E120" s="2" t="s">
        <v>105</v>
      </c>
      <c r="F120" s="2" t="s">
        <v>106</v>
      </c>
      <c r="G120" s="2" t="s">
        <v>46</v>
      </c>
      <c r="H120" s="14">
        <v>2</v>
      </c>
      <c r="I120" s="11">
        <v>299.99</v>
      </c>
      <c r="J120" s="2" t="s">
        <v>57</v>
      </c>
      <c r="K120" s="2" t="s">
        <v>21</v>
      </c>
      <c r="L120" s="2" t="s">
        <v>22</v>
      </c>
      <c r="M120" s="3">
        <v>44569</v>
      </c>
      <c r="N120" s="11">
        <v>599.98</v>
      </c>
      <c r="O120" s="8" t="s">
        <v>100</v>
      </c>
      <c r="P120" t="str">
        <f t="shared" si="2"/>
        <v>Furniture</v>
      </c>
      <c r="Q120">
        <f>INDEX(D119:N369,MATCH(O120,D120:$D$251,0),11)</f>
        <v>449.97</v>
      </c>
      <c r="R120" t="str">
        <f t="shared" si="3"/>
        <v>your customer is not Premium customer</v>
      </c>
      <c r="S120" t="str" cm="1">
        <f t="array" ref="S120">_xlfn.IFS(L120=$L$2,"he is an "&amp;$L$2&amp;"customer",L120=$L$3,"he is an"&amp;$L$3&amp;"customer",L120=$L$4,"he is an" &amp;$L$4&amp;"customer")</f>
        <v>he is an Basiccustomer</v>
      </c>
    </row>
    <row r="121" spans="1:19" x14ac:dyDescent="0.25">
      <c r="A121" s="2" t="s">
        <v>258</v>
      </c>
      <c r="B121" s="5">
        <v>45564</v>
      </c>
      <c r="C121" s="2" t="s">
        <v>259</v>
      </c>
      <c r="D121" s="8" t="s">
        <v>260</v>
      </c>
      <c r="E121" s="2" t="s">
        <v>126</v>
      </c>
      <c r="F121" s="2" t="s">
        <v>127</v>
      </c>
      <c r="G121" s="2" t="s">
        <v>46</v>
      </c>
      <c r="H121" s="14">
        <v>1</v>
      </c>
      <c r="I121" s="11">
        <v>199.99</v>
      </c>
      <c r="J121" s="2" t="s">
        <v>57</v>
      </c>
      <c r="K121" s="2" t="s">
        <v>63</v>
      </c>
      <c r="L121" s="2" t="s">
        <v>36</v>
      </c>
      <c r="M121" s="3">
        <v>44953</v>
      </c>
      <c r="N121" s="11">
        <v>199.99</v>
      </c>
      <c r="O121" s="8" t="s">
        <v>260</v>
      </c>
      <c r="P121" t="str">
        <f t="shared" si="2"/>
        <v>Furniture</v>
      </c>
      <c r="Q121">
        <f>INDEX(D120:N370,MATCH(O121,D121:$D$251,0),11)</f>
        <v>599.98</v>
      </c>
      <c r="R121" t="str">
        <f t="shared" si="3"/>
        <v>your customer is not Premium customer</v>
      </c>
      <c r="S121" t="str" cm="1">
        <f t="array" ref="S121">_xlfn.IFS(L121=$L$2,"he is an "&amp;$L$2&amp;"customer",L121=$L$3,"he is an"&amp;$L$3&amp;"customer",L121=$L$4,"he is an" &amp;$L$4&amp;"customer")</f>
        <v>he is anStandardcustomer</v>
      </c>
    </row>
    <row r="122" spans="1:19" x14ac:dyDescent="0.25">
      <c r="A122" s="2" t="s">
        <v>261</v>
      </c>
      <c r="B122" s="5">
        <v>45566</v>
      </c>
      <c r="C122" s="2" t="s">
        <v>42</v>
      </c>
      <c r="D122" s="8" t="s">
        <v>43</v>
      </c>
      <c r="E122" s="2" t="s">
        <v>105</v>
      </c>
      <c r="F122" s="2" t="s">
        <v>106</v>
      </c>
      <c r="G122" s="2" t="s">
        <v>46</v>
      </c>
      <c r="H122" s="14">
        <v>4</v>
      </c>
      <c r="I122" s="11">
        <v>299.99</v>
      </c>
      <c r="J122" s="2" t="s">
        <v>20</v>
      </c>
      <c r="K122" s="2" t="s">
        <v>21</v>
      </c>
      <c r="L122" s="2" t="s">
        <v>27</v>
      </c>
      <c r="M122" s="3">
        <v>44460</v>
      </c>
      <c r="N122" s="11">
        <v>1199.96</v>
      </c>
      <c r="O122" s="8" t="s">
        <v>43</v>
      </c>
      <c r="P122" t="str">
        <f t="shared" si="2"/>
        <v>Furniture</v>
      </c>
      <c r="Q122">
        <f>INDEX(D121:N371,MATCH(O122,D122:$D$251,0),11)</f>
        <v>199.99</v>
      </c>
      <c r="R122" t="str">
        <f t="shared" si="3"/>
        <v>Premium</v>
      </c>
      <c r="S122" t="str" cm="1">
        <f t="array" ref="S122">_xlfn.IFS(L122=$L$2,"he is an "&amp;$L$2&amp;"customer",L122=$L$3,"he is an"&amp;$L$3&amp;"customer",L122=$L$4,"he is an" &amp;$L$4&amp;"customer")</f>
        <v>he is anPremiumcustomer</v>
      </c>
    </row>
    <row r="123" spans="1:19" x14ac:dyDescent="0.25">
      <c r="A123" s="2" t="s">
        <v>262</v>
      </c>
      <c r="B123" s="5">
        <v>45572</v>
      </c>
      <c r="C123" s="2" t="s">
        <v>89</v>
      </c>
      <c r="D123" s="8" t="s">
        <v>90</v>
      </c>
      <c r="E123" s="2" t="s">
        <v>31</v>
      </c>
      <c r="F123" s="2" t="s">
        <v>32</v>
      </c>
      <c r="G123" s="2" t="s">
        <v>33</v>
      </c>
      <c r="H123" s="14">
        <v>2</v>
      </c>
      <c r="I123" s="11">
        <v>59.99</v>
      </c>
      <c r="J123" s="2" t="s">
        <v>26</v>
      </c>
      <c r="K123" s="2" t="s">
        <v>21</v>
      </c>
      <c r="L123" s="2" t="s">
        <v>22</v>
      </c>
      <c r="M123" s="3">
        <v>44579</v>
      </c>
      <c r="N123" s="11">
        <v>119.98</v>
      </c>
      <c r="O123" s="8" t="s">
        <v>90</v>
      </c>
      <c r="P123" t="str">
        <f t="shared" si="2"/>
        <v>Appliances</v>
      </c>
      <c r="Q123">
        <f>INDEX(D122:N372,MATCH(O123,D123:$D$251,0),11)</f>
        <v>1199.96</v>
      </c>
      <c r="R123" t="str">
        <f t="shared" si="3"/>
        <v>your customer is not Premium customer</v>
      </c>
      <c r="S123" t="str" cm="1">
        <f t="array" ref="S123">_xlfn.IFS(L123=$L$2,"he is an "&amp;$L$2&amp;"customer",L123=$L$3,"he is an"&amp;$L$3&amp;"customer",L123=$L$4,"he is an" &amp;$L$4&amp;"customer")</f>
        <v>he is an Basiccustomer</v>
      </c>
    </row>
    <row r="124" spans="1:19" x14ac:dyDescent="0.25">
      <c r="A124" s="2" t="s">
        <v>263</v>
      </c>
      <c r="B124" s="5">
        <v>45572</v>
      </c>
      <c r="C124" s="2" t="s">
        <v>234</v>
      </c>
      <c r="D124" s="8" t="s">
        <v>235</v>
      </c>
      <c r="E124" s="2" t="s">
        <v>52</v>
      </c>
      <c r="F124" s="2" t="s">
        <v>53</v>
      </c>
      <c r="G124" s="2" t="s">
        <v>19</v>
      </c>
      <c r="H124" s="14">
        <v>4</v>
      </c>
      <c r="I124" s="11">
        <v>149.99</v>
      </c>
      <c r="J124" s="2" t="s">
        <v>26</v>
      </c>
      <c r="K124" s="2" t="s">
        <v>40</v>
      </c>
      <c r="L124" s="2" t="s">
        <v>27</v>
      </c>
      <c r="M124" s="3">
        <v>45076</v>
      </c>
      <c r="N124" s="11">
        <v>599.96</v>
      </c>
      <c r="O124" s="8" t="s">
        <v>235</v>
      </c>
      <c r="P124" t="str">
        <f t="shared" si="2"/>
        <v>Electronics</v>
      </c>
      <c r="Q124">
        <f>INDEX(D123:N373,MATCH(O124,D124:$D$251,0),11)</f>
        <v>119.98</v>
      </c>
      <c r="R124" t="str">
        <f t="shared" si="3"/>
        <v>Premium</v>
      </c>
      <c r="S124" t="str" cm="1">
        <f t="array" ref="S124">_xlfn.IFS(L124=$L$2,"he is an "&amp;$L$2&amp;"customer",L124=$L$3,"he is an"&amp;$L$3&amp;"customer",L124=$L$4,"he is an" &amp;$L$4&amp;"customer")</f>
        <v>he is anPremiumcustomer</v>
      </c>
    </row>
    <row r="125" spans="1:19" x14ac:dyDescent="0.25">
      <c r="A125" s="2" t="s">
        <v>264</v>
      </c>
      <c r="B125" s="5">
        <v>45573</v>
      </c>
      <c r="C125" s="2" t="s">
        <v>211</v>
      </c>
      <c r="D125" s="8" t="s">
        <v>212</v>
      </c>
      <c r="E125" s="2" t="s">
        <v>80</v>
      </c>
      <c r="F125" s="2" t="s">
        <v>81</v>
      </c>
      <c r="G125" s="2" t="s">
        <v>19</v>
      </c>
      <c r="H125" s="14">
        <v>2</v>
      </c>
      <c r="I125" s="11">
        <v>699.99</v>
      </c>
      <c r="J125" s="2" t="s">
        <v>57</v>
      </c>
      <c r="K125" s="2" t="s">
        <v>63</v>
      </c>
      <c r="L125" s="2" t="s">
        <v>27</v>
      </c>
      <c r="M125" s="3">
        <v>45274</v>
      </c>
      <c r="N125" s="11">
        <v>1399.98</v>
      </c>
      <c r="O125" s="8" t="s">
        <v>212</v>
      </c>
      <c r="P125" t="str">
        <f t="shared" si="2"/>
        <v>Electronics</v>
      </c>
      <c r="Q125">
        <f>INDEX(D124:N374,MATCH(O125,D125:$D$251,0),11)</f>
        <v>599.96</v>
      </c>
      <c r="R125" t="str">
        <f t="shared" si="3"/>
        <v>Premium</v>
      </c>
      <c r="S125" t="str" cm="1">
        <f t="array" ref="S125">_xlfn.IFS(L125=$L$2,"he is an "&amp;$L$2&amp;"customer",L125=$L$3,"he is an"&amp;$L$3&amp;"customer",L125=$L$4,"he is an" &amp;$L$4&amp;"customer")</f>
        <v>he is anPremiumcustomer</v>
      </c>
    </row>
    <row r="126" spans="1:19" x14ac:dyDescent="0.25">
      <c r="A126" s="2" t="s">
        <v>265</v>
      </c>
      <c r="B126" s="5">
        <v>45573</v>
      </c>
      <c r="C126" s="2" t="s">
        <v>231</v>
      </c>
      <c r="D126" s="8" t="s">
        <v>232</v>
      </c>
      <c r="E126" s="2" t="s">
        <v>44</v>
      </c>
      <c r="F126" s="2" t="s">
        <v>45</v>
      </c>
      <c r="G126" s="2" t="s">
        <v>46</v>
      </c>
      <c r="H126" s="14">
        <v>3</v>
      </c>
      <c r="I126" s="11">
        <v>149.99</v>
      </c>
      <c r="J126" s="2" t="s">
        <v>26</v>
      </c>
      <c r="K126" s="2" t="s">
        <v>35</v>
      </c>
      <c r="L126" s="2" t="s">
        <v>36</v>
      </c>
      <c r="M126" s="3">
        <v>44940</v>
      </c>
      <c r="N126" s="11">
        <v>449.97</v>
      </c>
      <c r="O126" s="8" t="s">
        <v>232</v>
      </c>
      <c r="P126" t="str">
        <f t="shared" si="2"/>
        <v>Furniture</v>
      </c>
      <c r="Q126">
        <f>INDEX(D125:N375,MATCH(O126,D126:$D$251,0),11)</f>
        <v>1399.98</v>
      </c>
      <c r="R126" t="str">
        <f t="shared" si="3"/>
        <v>your customer is not Premium customer</v>
      </c>
      <c r="S126" t="str" cm="1">
        <f t="array" ref="S126">_xlfn.IFS(L126=$L$2,"he is an "&amp;$L$2&amp;"customer",L126=$L$3,"he is an"&amp;$L$3&amp;"customer",L126=$L$4,"he is an" &amp;$L$4&amp;"customer")</f>
        <v>he is anStandardcustomer</v>
      </c>
    </row>
    <row r="127" spans="1:19" x14ac:dyDescent="0.25">
      <c r="A127" s="2" t="s">
        <v>266</v>
      </c>
      <c r="B127" s="5">
        <v>45576</v>
      </c>
      <c r="C127" s="2" t="s">
        <v>147</v>
      </c>
      <c r="D127" s="8" t="s">
        <v>148</v>
      </c>
      <c r="E127" s="2" t="s">
        <v>105</v>
      </c>
      <c r="F127" s="2" t="s">
        <v>106</v>
      </c>
      <c r="G127" s="2" t="s">
        <v>46</v>
      </c>
      <c r="H127" s="14">
        <v>3</v>
      </c>
      <c r="I127" s="11">
        <v>299.99</v>
      </c>
      <c r="J127" s="2" t="s">
        <v>26</v>
      </c>
      <c r="K127" s="2" t="s">
        <v>21</v>
      </c>
      <c r="L127" s="2" t="s">
        <v>36</v>
      </c>
      <c r="M127" s="3">
        <v>45174</v>
      </c>
      <c r="N127" s="11">
        <v>899.97</v>
      </c>
      <c r="O127" s="8" t="s">
        <v>148</v>
      </c>
      <c r="P127" t="str">
        <f t="shared" si="2"/>
        <v>Furniture</v>
      </c>
      <c r="Q127">
        <f>INDEX(D126:N376,MATCH(O127,D127:$D$251,0),11)</f>
        <v>449.97</v>
      </c>
      <c r="R127" t="str">
        <f t="shared" si="3"/>
        <v>your customer is not Premium customer</v>
      </c>
      <c r="S127" t="str" cm="1">
        <f t="array" ref="S127">_xlfn.IFS(L127=$L$2,"he is an "&amp;$L$2&amp;"customer",L127=$L$3,"he is an"&amp;$L$3&amp;"customer",L127=$L$4,"he is an" &amp;$L$4&amp;"customer")</f>
        <v>he is anStandardcustomer</v>
      </c>
    </row>
    <row r="128" spans="1:19" x14ac:dyDescent="0.25">
      <c r="A128" s="2" t="s">
        <v>267</v>
      </c>
      <c r="B128" s="5">
        <v>45579</v>
      </c>
      <c r="C128" s="2" t="s">
        <v>83</v>
      </c>
      <c r="D128" s="8" t="s">
        <v>84</v>
      </c>
      <c r="E128" s="2" t="s">
        <v>61</v>
      </c>
      <c r="F128" s="2" t="s">
        <v>62</v>
      </c>
      <c r="G128" s="2" t="s">
        <v>19</v>
      </c>
      <c r="H128" s="14">
        <v>3</v>
      </c>
      <c r="I128" s="11">
        <v>899.99</v>
      </c>
      <c r="J128" s="2" t="s">
        <v>34</v>
      </c>
      <c r="K128" s="2" t="s">
        <v>50</v>
      </c>
      <c r="L128" s="2" t="s">
        <v>22</v>
      </c>
      <c r="M128" s="3">
        <v>45215</v>
      </c>
      <c r="N128" s="11">
        <v>2699.97</v>
      </c>
      <c r="O128" s="8" t="s">
        <v>84</v>
      </c>
      <c r="P128" t="str">
        <f t="shared" si="2"/>
        <v>Electronics</v>
      </c>
      <c r="Q128">
        <f>INDEX(D127:N377,MATCH(O128,D128:$D$251,0),11)</f>
        <v>899.97</v>
      </c>
      <c r="R128" t="str">
        <f t="shared" si="3"/>
        <v>your customer is not Premium customer</v>
      </c>
      <c r="S128" t="str" cm="1">
        <f t="array" ref="S128">_xlfn.IFS(L128=$L$2,"he is an "&amp;$L$2&amp;"customer",L128=$L$3,"he is an"&amp;$L$3&amp;"customer",L128=$L$4,"he is an" &amp;$L$4&amp;"customer")</f>
        <v>he is an Basiccustomer</v>
      </c>
    </row>
    <row r="129" spans="1:19" x14ac:dyDescent="0.25">
      <c r="A129" s="2" t="s">
        <v>268</v>
      </c>
      <c r="B129" s="5">
        <v>45581</v>
      </c>
      <c r="C129" s="2" t="s">
        <v>96</v>
      </c>
      <c r="D129" s="8" t="s">
        <v>97</v>
      </c>
      <c r="E129" s="2" t="s">
        <v>80</v>
      </c>
      <c r="F129" s="2" t="s">
        <v>81</v>
      </c>
      <c r="G129" s="2" t="s">
        <v>19</v>
      </c>
      <c r="H129" s="14">
        <v>5</v>
      </c>
      <c r="I129" s="11">
        <v>699.99</v>
      </c>
      <c r="J129" s="2" t="s">
        <v>20</v>
      </c>
      <c r="K129" s="2" t="s">
        <v>63</v>
      </c>
      <c r="L129" s="2" t="s">
        <v>36</v>
      </c>
      <c r="M129" s="3">
        <v>45008</v>
      </c>
      <c r="N129" s="11">
        <v>3499.95</v>
      </c>
      <c r="O129" s="8" t="s">
        <v>97</v>
      </c>
      <c r="P129" t="str">
        <f t="shared" si="2"/>
        <v>Electronics</v>
      </c>
      <c r="Q129">
        <f>INDEX(D128:N378,MATCH(O129,D129:$D$251,0),11)</f>
        <v>2699.97</v>
      </c>
      <c r="R129" t="str">
        <f t="shared" si="3"/>
        <v>your customer is not Premium customer</v>
      </c>
      <c r="S129" t="str" cm="1">
        <f t="array" ref="S129">_xlfn.IFS(L129=$L$2,"he is an "&amp;$L$2&amp;"customer",L129=$L$3,"he is an"&amp;$L$3&amp;"customer",L129=$L$4,"he is an" &amp;$L$4&amp;"customer")</f>
        <v>he is anStandardcustomer</v>
      </c>
    </row>
    <row r="130" spans="1:19" x14ac:dyDescent="0.25">
      <c r="A130" s="2" t="s">
        <v>269</v>
      </c>
      <c r="B130" s="5">
        <v>45581</v>
      </c>
      <c r="C130" s="2" t="s">
        <v>171</v>
      </c>
      <c r="D130" s="8" t="s">
        <v>172</v>
      </c>
      <c r="E130" s="2" t="s">
        <v>80</v>
      </c>
      <c r="F130" s="2" t="s">
        <v>81</v>
      </c>
      <c r="G130" s="2" t="s">
        <v>19</v>
      </c>
      <c r="H130" s="14">
        <v>4</v>
      </c>
      <c r="I130" s="11">
        <v>699.99</v>
      </c>
      <c r="J130" s="2" t="s">
        <v>26</v>
      </c>
      <c r="K130" s="2" t="s">
        <v>21</v>
      </c>
      <c r="L130" s="2" t="s">
        <v>22</v>
      </c>
      <c r="M130" s="3">
        <v>45385</v>
      </c>
      <c r="N130" s="11">
        <v>2799.96</v>
      </c>
      <c r="O130" s="8" t="s">
        <v>172</v>
      </c>
      <c r="P130" t="str">
        <f t="shared" si="2"/>
        <v>Electronics</v>
      </c>
      <c r="Q130">
        <f>INDEX(D129:N379,MATCH(O130,D130:$D$251,0),11)</f>
        <v>3499.95</v>
      </c>
      <c r="R130" t="str">
        <f t="shared" si="3"/>
        <v>your customer is not Premium customer</v>
      </c>
      <c r="S130" t="str" cm="1">
        <f t="array" ref="S130">_xlfn.IFS(L130=$L$2,"he is an "&amp;$L$2&amp;"customer",L130=$L$3,"he is an"&amp;$L$3&amp;"customer",L130=$L$4,"he is an" &amp;$L$4&amp;"customer")</f>
        <v>he is an Basiccustomer</v>
      </c>
    </row>
    <row r="131" spans="1:19" x14ac:dyDescent="0.25">
      <c r="A131" s="2" t="s">
        <v>270</v>
      </c>
      <c r="B131" s="5">
        <v>45581</v>
      </c>
      <c r="C131" s="2" t="s">
        <v>150</v>
      </c>
      <c r="D131" s="8" t="s">
        <v>151</v>
      </c>
      <c r="E131" s="2" t="s">
        <v>61</v>
      </c>
      <c r="F131" s="2" t="s">
        <v>62</v>
      </c>
      <c r="G131" s="2" t="s">
        <v>19</v>
      </c>
      <c r="H131" s="14">
        <v>1</v>
      </c>
      <c r="I131" s="11">
        <v>899.99</v>
      </c>
      <c r="J131" s="2" t="s">
        <v>26</v>
      </c>
      <c r="K131" s="2" t="s">
        <v>63</v>
      </c>
      <c r="L131" s="2" t="s">
        <v>36</v>
      </c>
      <c r="M131" s="3">
        <v>45369</v>
      </c>
      <c r="N131" s="11">
        <v>899.99</v>
      </c>
      <c r="O131" s="8" t="s">
        <v>151</v>
      </c>
      <c r="P131" t="str">
        <f t="shared" ref="P131:P194" si="4">VLOOKUP(O131,D130:N380,4,0)</f>
        <v>Electronics</v>
      </c>
      <c r="Q131">
        <f>INDEX(D130:N380,MATCH(O131,D131:$D$251,0),11)</f>
        <v>2799.96</v>
      </c>
      <c r="R131" t="str">
        <f t="shared" ref="R131:R194" si="5">IF(L131=$L$3,$L$3,"your customer is not "&amp;$L$3&amp;" customer")</f>
        <v>your customer is not Premium customer</v>
      </c>
      <c r="S131" t="str" cm="1">
        <f t="array" ref="S131">_xlfn.IFS(L131=$L$2,"he is an "&amp;$L$2&amp;"customer",L131=$L$3,"he is an"&amp;$L$3&amp;"customer",L131=$L$4,"he is an" &amp;$L$4&amp;"customer")</f>
        <v>he is anStandardcustomer</v>
      </c>
    </row>
    <row r="132" spans="1:19" x14ac:dyDescent="0.25">
      <c r="A132" s="2" t="s">
        <v>271</v>
      </c>
      <c r="B132" s="5">
        <v>45583</v>
      </c>
      <c r="C132" s="2" t="s">
        <v>226</v>
      </c>
      <c r="D132" s="8" t="s">
        <v>227</v>
      </c>
      <c r="E132" s="2" t="s">
        <v>52</v>
      </c>
      <c r="F132" s="2" t="s">
        <v>53</v>
      </c>
      <c r="G132" s="2" t="s">
        <v>19</v>
      </c>
      <c r="H132" s="14">
        <v>2</v>
      </c>
      <c r="I132" s="11">
        <v>149.99</v>
      </c>
      <c r="J132" s="2" t="s">
        <v>26</v>
      </c>
      <c r="K132" s="2" t="s">
        <v>50</v>
      </c>
      <c r="L132" s="2" t="s">
        <v>22</v>
      </c>
      <c r="M132" s="3">
        <v>44916</v>
      </c>
      <c r="N132" s="11">
        <v>299.98</v>
      </c>
      <c r="O132" s="8" t="s">
        <v>227</v>
      </c>
      <c r="P132" t="str">
        <f t="shared" si="4"/>
        <v>Electronics</v>
      </c>
      <c r="Q132">
        <f>INDEX(D131:N381,MATCH(O132,D132:$D$251,0),11)</f>
        <v>899.99</v>
      </c>
      <c r="R132" t="str">
        <f t="shared" si="5"/>
        <v>your customer is not Premium customer</v>
      </c>
      <c r="S132" t="str" cm="1">
        <f t="array" ref="S132">_xlfn.IFS(L132=$L$2,"he is an "&amp;$L$2&amp;"customer",L132=$L$3,"he is an"&amp;$L$3&amp;"customer",L132=$L$4,"he is an" &amp;$L$4&amp;"customer")</f>
        <v>he is an Basiccustomer</v>
      </c>
    </row>
    <row r="133" spans="1:19" x14ac:dyDescent="0.25">
      <c r="A133" s="2" t="s">
        <v>272</v>
      </c>
      <c r="B133" s="5">
        <v>45586</v>
      </c>
      <c r="C133" s="2" t="s">
        <v>226</v>
      </c>
      <c r="D133" s="8" t="s">
        <v>227</v>
      </c>
      <c r="E133" s="2" t="s">
        <v>117</v>
      </c>
      <c r="F133" s="2" t="s">
        <v>118</v>
      </c>
      <c r="G133" s="2" t="s">
        <v>19</v>
      </c>
      <c r="H133" s="14">
        <v>3</v>
      </c>
      <c r="I133" s="11">
        <v>89.99</v>
      </c>
      <c r="J133" s="2" t="s">
        <v>34</v>
      </c>
      <c r="K133" s="2" t="s">
        <v>21</v>
      </c>
      <c r="L133" s="2" t="s">
        <v>22</v>
      </c>
      <c r="M133" s="3">
        <v>44551</v>
      </c>
      <c r="N133" s="11">
        <v>269.97000000000003</v>
      </c>
      <c r="O133" s="8" t="s">
        <v>227</v>
      </c>
      <c r="P133" t="str">
        <f t="shared" si="4"/>
        <v>Electronics</v>
      </c>
      <c r="Q133">
        <f>INDEX(D132:N382,MATCH(O133,D133:$D$251,0),11)</f>
        <v>299.98</v>
      </c>
      <c r="R133" t="str">
        <f t="shared" si="5"/>
        <v>your customer is not Premium customer</v>
      </c>
      <c r="S133" t="str" cm="1">
        <f t="array" ref="S133">_xlfn.IFS(L133=$L$2,"he is an "&amp;$L$2&amp;"customer",L133=$L$3,"he is an"&amp;$L$3&amp;"customer",L133=$L$4,"he is an" &amp;$L$4&amp;"customer")</f>
        <v>he is an Basiccustomer</v>
      </c>
    </row>
    <row r="134" spans="1:19" x14ac:dyDescent="0.25">
      <c r="A134" s="2" t="s">
        <v>273</v>
      </c>
      <c r="B134" s="5">
        <v>45588</v>
      </c>
      <c r="C134" s="2" t="s">
        <v>38</v>
      </c>
      <c r="D134" s="8" t="s">
        <v>39</v>
      </c>
      <c r="E134" s="2" t="s">
        <v>52</v>
      </c>
      <c r="F134" s="2" t="s">
        <v>53</v>
      </c>
      <c r="G134" s="2" t="s">
        <v>19</v>
      </c>
      <c r="H134" s="14">
        <v>2</v>
      </c>
      <c r="I134" s="11">
        <v>149.99</v>
      </c>
      <c r="J134" s="2" t="s">
        <v>34</v>
      </c>
      <c r="K134" s="2" t="s">
        <v>21</v>
      </c>
      <c r="L134" s="2" t="s">
        <v>22</v>
      </c>
      <c r="M134" s="3">
        <v>44473</v>
      </c>
      <c r="N134" s="11">
        <v>299.98</v>
      </c>
      <c r="O134" s="8" t="s">
        <v>39</v>
      </c>
      <c r="P134" t="str">
        <f t="shared" si="4"/>
        <v>Electronics</v>
      </c>
      <c r="Q134">
        <f>INDEX(D133:N383,MATCH(O134,D134:$D$251,0),11)</f>
        <v>269.97000000000003</v>
      </c>
      <c r="R134" t="str">
        <f t="shared" si="5"/>
        <v>your customer is not Premium customer</v>
      </c>
      <c r="S134" t="str" cm="1">
        <f t="array" ref="S134">_xlfn.IFS(L134=$L$2,"he is an "&amp;$L$2&amp;"customer",L134=$L$3,"he is an"&amp;$L$3&amp;"customer",L134=$L$4,"he is an" &amp;$L$4&amp;"customer")</f>
        <v>he is an Basiccustomer</v>
      </c>
    </row>
    <row r="135" spans="1:19" x14ac:dyDescent="0.25">
      <c r="A135" s="2" t="s">
        <v>274</v>
      </c>
      <c r="B135" s="5">
        <v>45588</v>
      </c>
      <c r="C135" s="2" t="s">
        <v>154</v>
      </c>
      <c r="D135" s="8" t="s">
        <v>155</v>
      </c>
      <c r="E135" s="2" t="s">
        <v>80</v>
      </c>
      <c r="F135" s="2" t="s">
        <v>81</v>
      </c>
      <c r="G135" s="2" t="s">
        <v>19</v>
      </c>
      <c r="H135" s="14">
        <v>2</v>
      </c>
      <c r="I135" s="11">
        <v>699.99</v>
      </c>
      <c r="J135" s="2" t="s">
        <v>20</v>
      </c>
      <c r="K135" s="2" t="s">
        <v>21</v>
      </c>
      <c r="L135" s="2" t="s">
        <v>22</v>
      </c>
      <c r="M135" s="3">
        <v>44992</v>
      </c>
      <c r="N135" s="11">
        <v>1399.98</v>
      </c>
      <c r="O135" s="8" t="s">
        <v>155</v>
      </c>
      <c r="P135" t="str">
        <f t="shared" si="4"/>
        <v>Electronics</v>
      </c>
      <c r="Q135">
        <f>INDEX(D134:N384,MATCH(O135,D135:$D$251,0),11)</f>
        <v>299.98</v>
      </c>
      <c r="R135" t="str">
        <f t="shared" si="5"/>
        <v>your customer is not Premium customer</v>
      </c>
      <c r="S135" t="str" cm="1">
        <f t="array" ref="S135">_xlfn.IFS(L135=$L$2,"he is an "&amp;$L$2&amp;"customer",L135=$L$3,"he is an"&amp;$L$3&amp;"customer",L135=$L$4,"he is an" &amp;$L$4&amp;"customer")</f>
        <v>he is an Basiccustomer</v>
      </c>
    </row>
    <row r="136" spans="1:19" x14ac:dyDescent="0.25">
      <c r="A136" s="2" t="s">
        <v>275</v>
      </c>
      <c r="B136" s="5">
        <v>45589</v>
      </c>
      <c r="C136" s="2" t="s">
        <v>158</v>
      </c>
      <c r="D136" s="8" t="s">
        <v>159</v>
      </c>
      <c r="E136" s="2" t="s">
        <v>80</v>
      </c>
      <c r="F136" s="2" t="s">
        <v>81</v>
      </c>
      <c r="G136" s="2" t="s">
        <v>19</v>
      </c>
      <c r="H136" s="14">
        <v>5</v>
      </c>
      <c r="I136" s="11">
        <v>699.99</v>
      </c>
      <c r="J136" s="2" t="s">
        <v>20</v>
      </c>
      <c r="K136" s="2" t="s">
        <v>40</v>
      </c>
      <c r="L136" s="2" t="s">
        <v>27</v>
      </c>
      <c r="M136" s="3">
        <v>44635</v>
      </c>
      <c r="N136" s="11">
        <v>3499.95</v>
      </c>
      <c r="O136" s="8" t="s">
        <v>159</v>
      </c>
      <c r="P136" t="str">
        <f t="shared" si="4"/>
        <v>Electronics</v>
      </c>
      <c r="Q136">
        <f>INDEX(D135:N385,MATCH(O136,D136:$D$251,0),11)</f>
        <v>1399.98</v>
      </c>
      <c r="R136" t="str">
        <f t="shared" si="5"/>
        <v>Premium</v>
      </c>
      <c r="S136" t="str" cm="1">
        <f t="array" ref="S136">_xlfn.IFS(L136=$L$2,"he is an "&amp;$L$2&amp;"customer",L136=$L$3,"he is an"&amp;$L$3&amp;"customer",L136=$L$4,"he is an" &amp;$L$4&amp;"customer")</f>
        <v>he is anPremiumcustomer</v>
      </c>
    </row>
    <row r="137" spans="1:19" x14ac:dyDescent="0.25">
      <c r="A137" s="2" t="s">
        <v>276</v>
      </c>
      <c r="B137" s="5">
        <v>45592</v>
      </c>
      <c r="C137" s="2" t="s">
        <v>171</v>
      </c>
      <c r="D137" s="8" t="s">
        <v>172</v>
      </c>
      <c r="E137" s="2" t="s">
        <v>117</v>
      </c>
      <c r="F137" s="2" t="s">
        <v>118</v>
      </c>
      <c r="G137" s="2" t="s">
        <v>19</v>
      </c>
      <c r="H137" s="14">
        <v>3</v>
      </c>
      <c r="I137" s="11">
        <v>89.99</v>
      </c>
      <c r="J137" s="2" t="s">
        <v>26</v>
      </c>
      <c r="K137" s="2" t="s">
        <v>40</v>
      </c>
      <c r="L137" s="2" t="s">
        <v>36</v>
      </c>
      <c r="M137" s="3">
        <v>44615</v>
      </c>
      <c r="N137" s="11">
        <v>269.97000000000003</v>
      </c>
      <c r="O137" s="8" t="s">
        <v>172</v>
      </c>
      <c r="P137" t="str">
        <f t="shared" si="4"/>
        <v>Electronics</v>
      </c>
      <c r="Q137">
        <f>INDEX(D136:N386,MATCH(O137,D137:$D$251,0),11)</f>
        <v>3499.95</v>
      </c>
      <c r="R137" t="str">
        <f t="shared" si="5"/>
        <v>your customer is not Premium customer</v>
      </c>
      <c r="S137" t="str" cm="1">
        <f t="array" ref="S137">_xlfn.IFS(L137=$L$2,"he is an "&amp;$L$2&amp;"customer",L137=$L$3,"he is an"&amp;$L$3&amp;"customer",L137=$L$4,"he is an" &amp;$L$4&amp;"customer")</f>
        <v>he is anStandardcustomer</v>
      </c>
    </row>
    <row r="138" spans="1:19" x14ac:dyDescent="0.25">
      <c r="A138" s="2" t="s">
        <v>277</v>
      </c>
      <c r="B138" s="5">
        <v>45597</v>
      </c>
      <c r="C138" s="2" t="s">
        <v>15</v>
      </c>
      <c r="D138" s="8" t="s">
        <v>16</v>
      </c>
      <c r="E138" s="2" t="s">
        <v>17</v>
      </c>
      <c r="F138" s="2" t="s">
        <v>18</v>
      </c>
      <c r="G138" s="2" t="s">
        <v>19</v>
      </c>
      <c r="H138" s="14">
        <v>5</v>
      </c>
      <c r="I138" s="11">
        <v>249.99</v>
      </c>
      <c r="J138" s="2" t="s">
        <v>26</v>
      </c>
      <c r="K138" s="2" t="s">
        <v>35</v>
      </c>
      <c r="L138" s="2" t="s">
        <v>36</v>
      </c>
      <c r="M138" s="3">
        <v>44881</v>
      </c>
      <c r="N138" s="11">
        <v>1249.95</v>
      </c>
      <c r="O138" s="8" t="s">
        <v>16</v>
      </c>
      <c r="P138" t="str">
        <f t="shared" si="4"/>
        <v>Electronics</v>
      </c>
      <c r="Q138">
        <f>INDEX(D137:N387,MATCH(O138,D138:$D$251,0),11)</f>
        <v>269.97000000000003</v>
      </c>
      <c r="R138" t="str">
        <f t="shared" si="5"/>
        <v>your customer is not Premium customer</v>
      </c>
      <c r="S138" t="str" cm="1">
        <f t="array" ref="S138">_xlfn.IFS(L138=$L$2,"he is an "&amp;$L$2&amp;"customer",L138=$L$3,"he is an"&amp;$L$3&amp;"customer",L138=$L$4,"he is an" &amp;$L$4&amp;"customer")</f>
        <v>he is anStandardcustomer</v>
      </c>
    </row>
    <row r="139" spans="1:19" x14ac:dyDescent="0.25">
      <c r="A139" s="2" t="s">
        <v>278</v>
      </c>
      <c r="B139" s="5">
        <v>45600</v>
      </c>
      <c r="C139" s="2" t="s">
        <v>65</v>
      </c>
      <c r="D139" s="8" t="s">
        <v>66</v>
      </c>
      <c r="E139" s="2" t="s">
        <v>105</v>
      </c>
      <c r="F139" s="2" t="s">
        <v>106</v>
      </c>
      <c r="G139" s="2" t="s">
        <v>46</v>
      </c>
      <c r="H139" s="14">
        <v>3</v>
      </c>
      <c r="I139" s="11">
        <v>299.99</v>
      </c>
      <c r="J139" s="2" t="s">
        <v>26</v>
      </c>
      <c r="K139" s="2" t="s">
        <v>35</v>
      </c>
      <c r="L139" s="2" t="s">
        <v>36</v>
      </c>
      <c r="M139" s="3">
        <v>44502</v>
      </c>
      <c r="N139" s="11">
        <v>899.97</v>
      </c>
      <c r="O139" s="8" t="s">
        <v>66</v>
      </c>
      <c r="P139" t="str">
        <f t="shared" si="4"/>
        <v>Furniture</v>
      </c>
      <c r="Q139">
        <f>INDEX(D138:N388,MATCH(O139,D139:$D$251,0),11)</f>
        <v>1249.95</v>
      </c>
      <c r="R139" t="str">
        <f t="shared" si="5"/>
        <v>your customer is not Premium customer</v>
      </c>
      <c r="S139" t="str" cm="1">
        <f t="array" ref="S139">_xlfn.IFS(L139=$L$2,"he is an "&amp;$L$2&amp;"customer",L139=$L$3,"he is an"&amp;$L$3&amp;"customer",L139=$L$4,"he is an" &amp;$L$4&amp;"customer")</f>
        <v>he is anStandardcustomer</v>
      </c>
    </row>
    <row r="140" spans="1:19" x14ac:dyDescent="0.25">
      <c r="A140" s="2" t="s">
        <v>279</v>
      </c>
      <c r="B140" s="5">
        <v>45603</v>
      </c>
      <c r="C140" s="2" t="s">
        <v>99</v>
      </c>
      <c r="D140" s="8" t="s">
        <v>100</v>
      </c>
      <c r="E140" s="2" t="s">
        <v>117</v>
      </c>
      <c r="F140" s="2" t="s">
        <v>118</v>
      </c>
      <c r="G140" s="2" t="s">
        <v>19</v>
      </c>
      <c r="H140" s="14">
        <v>3</v>
      </c>
      <c r="I140" s="11">
        <v>89.99</v>
      </c>
      <c r="J140" s="2" t="s">
        <v>26</v>
      </c>
      <c r="K140" s="2" t="s">
        <v>40</v>
      </c>
      <c r="L140" s="2" t="s">
        <v>27</v>
      </c>
      <c r="M140" s="3">
        <v>44420</v>
      </c>
      <c r="N140" s="11">
        <v>269.97000000000003</v>
      </c>
      <c r="O140" s="8" t="s">
        <v>100</v>
      </c>
      <c r="P140" t="str">
        <f t="shared" si="4"/>
        <v>Electronics</v>
      </c>
      <c r="Q140">
        <f>INDEX(D139:N389,MATCH(O140,D140:$D$251,0),11)</f>
        <v>899.97</v>
      </c>
      <c r="R140" t="str">
        <f t="shared" si="5"/>
        <v>Premium</v>
      </c>
      <c r="S140" t="str" cm="1">
        <f t="array" ref="S140">_xlfn.IFS(L140=$L$2,"he is an "&amp;$L$2&amp;"customer",L140=$L$3,"he is an"&amp;$L$3&amp;"customer",L140=$L$4,"he is an" &amp;$L$4&amp;"customer")</f>
        <v>he is anPremiumcustomer</v>
      </c>
    </row>
    <row r="141" spans="1:19" x14ac:dyDescent="0.25">
      <c r="A141" s="2" t="s">
        <v>280</v>
      </c>
      <c r="B141" s="5">
        <v>45604</v>
      </c>
      <c r="C141" s="2" t="s">
        <v>89</v>
      </c>
      <c r="D141" s="8" t="s">
        <v>90</v>
      </c>
      <c r="E141" s="2" t="s">
        <v>44</v>
      </c>
      <c r="F141" s="2" t="s">
        <v>45</v>
      </c>
      <c r="G141" s="2" t="s">
        <v>46</v>
      </c>
      <c r="H141" s="14">
        <v>2</v>
      </c>
      <c r="I141" s="11">
        <v>149.99</v>
      </c>
      <c r="J141" s="2" t="s">
        <v>26</v>
      </c>
      <c r="K141" s="2" t="s">
        <v>50</v>
      </c>
      <c r="L141" s="2" t="s">
        <v>27</v>
      </c>
      <c r="M141" s="3">
        <v>44848</v>
      </c>
      <c r="N141" s="11">
        <v>299.98</v>
      </c>
      <c r="O141" s="8" t="s">
        <v>90</v>
      </c>
      <c r="P141" t="str">
        <f t="shared" si="4"/>
        <v>Furniture</v>
      </c>
      <c r="Q141">
        <f>INDEX(D140:N390,MATCH(O141,D141:$D$251,0),11)</f>
        <v>269.97000000000003</v>
      </c>
      <c r="R141" t="str">
        <f t="shared" si="5"/>
        <v>Premium</v>
      </c>
      <c r="S141" t="str" cm="1">
        <f t="array" ref="S141">_xlfn.IFS(L141=$L$2,"he is an "&amp;$L$2&amp;"customer",L141=$L$3,"he is an"&amp;$L$3&amp;"customer",L141=$L$4,"he is an" &amp;$L$4&amp;"customer")</f>
        <v>he is anPremiumcustomer</v>
      </c>
    </row>
    <row r="142" spans="1:19" x14ac:dyDescent="0.25">
      <c r="A142" s="2" t="s">
        <v>281</v>
      </c>
      <c r="B142" s="5">
        <v>45605</v>
      </c>
      <c r="C142" s="2" t="s">
        <v>185</v>
      </c>
      <c r="D142" s="8" t="s">
        <v>186</v>
      </c>
      <c r="E142" s="2" t="s">
        <v>17</v>
      </c>
      <c r="F142" s="2" t="s">
        <v>18</v>
      </c>
      <c r="G142" s="2" t="s">
        <v>19</v>
      </c>
      <c r="H142" s="14">
        <v>1</v>
      </c>
      <c r="I142" s="11">
        <v>249.99</v>
      </c>
      <c r="J142" s="2" t="s">
        <v>26</v>
      </c>
      <c r="K142" s="2" t="s">
        <v>40</v>
      </c>
      <c r="L142" s="2" t="s">
        <v>27</v>
      </c>
      <c r="M142" s="3">
        <v>44828</v>
      </c>
      <c r="N142" s="11">
        <v>249.99</v>
      </c>
      <c r="O142" s="8" t="s">
        <v>186</v>
      </c>
      <c r="P142" t="str">
        <f t="shared" si="4"/>
        <v>Electronics</v>
      </c>
      <c r="Q142">
        <f>INDEX(D141:N391,MATCH(O142,D142:$D$251,0),11)</f>
        <v>299.98</v>
      </c>
      <c r="R142" t="str">
        <f t="shared" si="5"/>
        <v>Premium</v>
      </c>
      <c r="S142" t="str" cm="1">
        <f t="array" ref="S142">_xlfn.IFS(L142=$L$2,"he is an "&amp;$L$2&amp;"customer",L142=$L$3,"he is an"&amp;$L$3&amp;"customer",L142=$L$4,"he is an" &amp;$L$4&amp;"customer")</f>
        <v>he is anPremiumcustomer</v>
      </c>
    </row>
    <row r="143" spans="1:19" x14ac:dyDescent="0.25">
      <c r="A143" s="2" t="s">
        <v>282</v>
      </c>
      <c r="B143" s="5">
        <v>45607</v>
      </c>
      <c r="C143" s="2" t="s">
        <v>72</v>
      </c>
      <c r="D143" s="8" t="s">
        <v>73</v>
      </c>
      <c r="E143" s="2" t="s">
        <v>52</v>
      </c>
      <c r="F143" s="2" t="s">
        <v>53</v>
      </c>
      <c r="G143" s="2" t="s">
        <v>19</v>
      </c>
      <c r="H143" s="14">
        <v>3</v>
      </c>
      <c r="I143" s="11">
        <v>149.99</v>
      </c>
      <c r="J143" s="2" t="s">
        <v>20</v>
      </c>
      <c r="K143" s="2" t="s">
        <v>40</v>
      </c>
      <c r="L143" s="2" t="s">
        <v>22</v>
      </c>
      <c r="M143" s="3">
        <v>44769</v>
      </c>
      <c r="N143" s="11">
        <v>449.97</v>
      </c>
      <c r="O143" s="8" t="s">
        <v>73</v>
      </c>
      <c r="P143" t="str">
        <f t="shared" si="4"/>
        <v>Electronics</v>
      </c>
      <c r="Q143">
        <f>INDEX(D142:N392,MATCH(O143,D143:$D$251,0),11)</f>
        <v>249.99</v>
      </c>
      <c r="R143" t="str">
        <f t="shared" si="5"/>
        <v>your customer is not Premium customer</v>
      </c>
      <c r="S143" t="str" cm="1">
        <f t="array" ref="S143">_xlfn.IFS(L143=$L$2,"he is an "&amp;$L$2&amp;"customer",L143=$L$3,"he is an"&amp;$L$3&amp;"customer",L143=$L$4,"he is an" &amp;$L$4&amp;"customer")</f>
        <v>he is an Basiccustomer</v>
      </c>
    </row>
    <row r="144" spans="1:19" x14ac:dyDescent="0.25">
      <c r="A144" s="2" t="s">
        <v>283</v>
      </c>
      <c r="B144" s="5">
        <v>45607</v>
      </c>
      <c r="C144" s="2" t="s">
        <v>15</v>
      </c>
      <c r="D144" s="8" t="s">
        <v>16</v>
      </c>
      <c r="E144" s="2" t="s">
        <v>31</v>
      </c>
      <c r="F144" s="2" t="s">
        <v>32</v>
      </c>
      <c r="G144" s="2" t="s">
        <v>33</v>
      </c>
      <c r="H144" s="14">
        <v>5</v>
      </c>
      <c r="I144" s="11">
        <v>59.99</v>
      </c>
      <c r="J144" s="2" t="s">
        <v>34</v>
      </c>
      <c r="K144" s="2" t="s">
        <v>50</v>
      </c>
      <c r="L144" s="2" t="s">
        <v>27</v>
      </c>
      <c r="M144" s="3">
        <v>44694</v>
      </c>
      <c r="N144" s="11">
        <v>299.95</v>
      </c>
      <c r="O144" s="8" t="s">
        <v>16</v>
      </c>
      <c r="P144" t="str">
        <f t="shared" si="4"/>
        <v>Appliances</v>
      </c>
      <c r="Q144">
        <f>INDEX(D143:N393,MATCH(O144,D144:$D$251,0),11)</f>
        <v>449.97</v>
      </c>
      <c r="R144" t="str">
        <f t="shared" si="5"/>
        <v>Premium</v>
      </c>
      <c r="S144" t="str" cm="1">
        <f t="array" ref="S144">_xlfn.IFS(L144=$L$2,"he is an "&amp;$L$2&amp;"customer",L144=$L$3,"he is an"&amp;$L$3&amp;"customer",L144=$L$4,"he is an" &amp;$L$4&amp;"customer")</f>
        <v>he is anPremiumcustomer</v>
      </c>
    </row>
    <row r="145" spans="1:19" x14ac:dyDescent="0.25">
      <c r="A145" s="2" t="s">
        <v>284</v>
      </c>
      <c r="B145" s="5">
        <v>45607</v>
      </c>
      <c r="C145" s="2" t="s">
        <v>99</v>
      </c>
      <c r="D145" s="8" t="s">
        <v>100</v>
      </c>
      <c r="E145" s="2" t="s">
        <v>17</v>
      </c>
      <c r="F145" s="2" t="s">
        <v>18</v>
      </c>
      <c r="G145" s="2" t="s">
        <v>19</v>
      </c>
      <c r="H145" s="14">
        <v>4</v>
      </c>
      <c r="I145" s="11">
        <v>249.99</v>
      </c>
      <c r="J145" s="2" t="s">
        <v>26</v>
      </c>
      <c r="K145" s="2" t="s">
        <v>50</v>
      </c>
      <c r="L145" s="2" t="s">
        <v>36</v>
      </c>
      <c r="M145" s="3">
        <v>44659</v>
      </c>
      <c r="N145" s="11">
        <v>999.96</v>
      </c>
      <c r="O145" s="8" t="s">
        <v>100</v>
      </c>
      <c r="P145" t="str">
        <f t="shared" si="4"/>
        <v>Electronics</v>
      </c>
      <c r="Q145">
        <f>INDEX(D144:N394,MATCH(O145,D145:$D$251,0),11)</f>
        <v>299.95</v>
      </c>
      <c r="R145" t="str">
        <f t="shared" si="5"/>
        <v>your customer is not Premium customer</v>
      </c>
      <c r="S145" t="str" cm="1">
        <f t="array" ref="S145">_xlfn.IFS(L145=$L$2,"he is an "&amp;$L$2&amp;"customer",L145=$L$3,"he is an"&amp;$L$3&amp;"customer",L145=$L$4,"he is an" &amp;$L$4&amp;"customer")</f>
        <v>he is anStandardcustomer</v>
      </c>
    </row>
    <row r="146" spans="1:19" x14ac:dyDescent="0.25">
      <c r="A146" s="2" t="s">
        <v>285</v>
      </c>
      <c r="B146" s="5">
        <v>45608</v>
      </c>
      <c r="C146" s="2" t="s">
        <v>154</v>
      </c>
      <c r="D146" s="8" t="s">
        <v>155</v>
      </c>
      <c r="E146" s="2" t="s">
        <v>44</v>
      </c>
      <c r="F146" s="2" t="s">
        <v>45</v>
      </c>
      <c r="G146" s="2" t="s">
        <v>46</v>
      </c>
      <c r="H146" s="14">
        <v>5</v>
      </c>
      <c r="I146" s="11">
        <v>149.99</v>
      </c>
      <c r="J146" s="2" t="s">
        <v>34</v>
      </c>
      <c r="K146" s="2" t="s">
        <v>21</v>
      </c>
      <c r="L146" s="2" t="s">
        <v>22</v>
      </c>
      <c r="M146" s="3">
        <v>44901</v>
      </c>
      <c r="N146" s="11">
        <v>749.95</v>
      </c>
      <c r="O146" s="8" t="s">
        <v>155</v>
      </c>
      <c r="P146" t="str">
        <f t="shared" si="4"/>
        <v>Furniture</v>
      </c>
      <c r="Q146">
        <f>INDEX(D145:N395,MATCH(O146,D146:$D$251,0),11)</f>
        <v>999.96</v>
      </c>
      <c r="R146" t="str">
        <f t="shared" si="5"/>
        <v>your customer is not Premium customer</v>
      </c>
      <c r="S146" t="str" cm="1">
        <f t="array" ref="S146">_xlfn.IFS(L146=$L$2,"he is an "&amp;$L$2&amp;"customer",L146=$L$3,"he is an"&amp;$L$3&amp;"customer",L146=$L$4,"he is an" &amp;$L$4&amp;"customer")</f>
        <v>he is an Basiccustomer</v>
      </c>
    </row>
    <row r="147" spans="1:19" x14ac:dyDescent="0.25">
      <c r="A147" s="2" t="s">
        <v>286</v>
      </c>
      <c r="B147" s="5">
        <v>45608</v>
      </c>
      <c r="C147" s="2" t="s">
        <v>83</v>
      </c>
      <c r="D147" s="8" t="s">
        <v>84</v>
      </c>
      <c r="E147" s="2" t="s">
        <v>31</v>
      </c>
      <c r="F147" s="2" t="s">
        <v>32</v>
      </c>
      <c r="G147" s="2" t="s">
        <v>33</v>
      </c>
      <c r="H147" s="14">
        <v>3</v>
      </c>
      <c r="I147" s="11">
        <v>59.99</v>
      </c>
      <c r="J147" s="2" t="s">
        <v>57</v>
      </c>
      <c r="K147" s="2" t="s">
        <v>35</v>
      </c>
      <c r="L147" s="2" t="s">
        <v>36</v>
      </c>
      <c r="M147" s="3">
        <v>45260</v>
      </c>
      <c r="N147" s="11">
        <v>179.97</v>
      </c>
      <c r="O147" s="8" t="s">
        <v>84</v>
      </c>
      <c r="P147" t="str">
        <f t="shared" si="4"/>
        <v>Appliances</v>
      </c>
      <c r="Q147">
        <f>INDEX(D146:N396,MATCH(O147,D147:$D$251,0),11)</f>
        <v>749.95</v>
      </c>
      <c r="R147" t="str">
        <f t="shared" si="5"/>
        <v>your customer is not Premium customer</v>
      </c>
      <c r="S147" t="str" cm="1">
        <f t="array" ref="S147">_xlfn.IFS(L147=$L$2,"he is an "&amp;$L$2&amp;"customer",L147=$L$3,"he is an"&amp;$L$3&amp;"customer",L147=$L$4,"he is an" &amp;$L$4&amp;"customer")</f>
        <v>he is anStandardcustomer</v>
      </c>
    </row>
    <row r="148" spans="1:19" x14ac:dyDescent="0.25">
      <c r="A148" s="2" t="s">
        <v>287</v>
      </c>
      <c r="B148" s="5">
        <v>45613</v>
      </c>
      <c r="C148" s="2" t="s">
        <v>234</v>
      </c>
      <c r="D148" s="8" t="s">
        <v>235</v>
      </c>
      <c r="E148" s="2" t="s">
        <v>44</v>
      </c>
      <c r="F148" s="2" t="s">
        <v>45</v>
      </c>
      <c r="G148" s="2" t="s">
        <v>46</v>
      </c>
      <c r="H148" s="14">
        <v>5</v>
      </c>
      <c r="I148" s="11">
        <v>149.99</v>
      </c>
      <c r="J148" s="2" t="s">
        <v>20</v>
      </c>
      <c r="K148" s="2" t="s">
        <v>40</v>
      </c>
      <c r="L148" s="2" t="s">
        <v>22</v>
      </c>
      <c r="M148" s="3">
        <v>44869</v>
      </c>
      <c r="N148" s="11">
        <v>749.95</v>
      </c>
      <c r="O148" s="8" t="s">
        <v>235</v>
      </c>
      <c r="P148" t="str">
        <f t="shared" si="4"/>
        <v>Furniture</v>
      </c>
      <c r="Q148">
        <f>INDEX(D147:N397,MATCH(O148,D148:$D$251,0),11)</f>
        <v>179.97</v>
      </c>
      <c r="R148" t="str">
        <f t="shared" si="5"/>
        <v>your customer is not Premium customer</v>
      </c>
      <c r="S148" t="str" cm="1">
        <f t="array" ref="S148">_xlfn.IFS(L148=$L$2,"he is an "&amp;$L$2&amp;"customer",L148=$L$3,"he is an"&amp;$L$3&amp;"customer",L148=$L$4,"he is an" &amp;$L$4&amp;"customer")</f>
        <v>he is an Basiccustomer</v>
      </c>
    </row>
    <row r="149" spans="1:19" x14ac:dyDescent="0.25">
      <c r="A149" s="2" t="s">
        <v>288</v>
      </c>
      <c r="B149" s="5">
        <v>45613</v>
      </c>
      <c r="C149" s="2" t="s">
        <v>86</v>
      </c>
      <c r="D149" s="8" t="s">
        <v>87</v>
      </c>
      <c r="E149" s="2" t="s">
        <v>80</v>
      </c>
      <c r="F149" s="2" t="s">
        <v>81</v>
      </c>
      <c r="G149" s="2" t="s">
        <v>19</v>
      </c>
      <c r="H149" s="14">
        <v>2</v>
      </c>
      <c r="I149" s="11">
        <v>699.99</v>
      </c>
      <c r="J149" s="2" t="s">
        <v>34</v>
      </c>
      <c r="K149" s="2" t="s">
        <v>50</v>
      </c>
      <c r="L149" s="2" t="s">
        <v>36</v>
      </c>
      <c r="M149" s="3">
        <v>44770</v>
      </c>
      <c r="N149" s="11">
        <v>1399.98</v>
      </c>
      <c r="O149" s="8" t="s">
        <v>87</v>
      </c>
      <c r="P149" t="str">
        <f t="shared" si="4"/>
        <v>Electronics</v>
      </c>
      <c r="Q149">
        <f>INDEX(D148:N398,MATCH(O149,D149:$D$251,0),11)</f>
        <v>749.95</v>
      </c>
      <c r="R149" t="str">
        <f t="shared" si="5"/>
        <v>your customer is not Premium customer</v>
      </c>
      <c r="S149" t="str" cm="1">
        <f t="array" ref="S149">_xlfn.IFS(L149=$L$2,"he is an "&amp;$L$2&amp;"customer",L149=$L$3,"he is an"&amp;$L$3&amp;"customer",L149=$L$4,"he is an" &amp;$L$4&amp;"customer")</f>
        <v>he is anStandardcustomer</v>
      </c>
    </row>
    <row r="150" spans="1:19" x14ac:dyDescent="0.25">
      <c r="A150" s="2" t="s">
        <v>289</v>
      </c>
      <c r="B150" s="5">
        <v>45617</v>
      </c>
      <c r="C150" s="2" t="s">
        <v>123</v>
      </c>
      <c r="D150" s="8" t="s">
        <v>124</v>
      </c>
      <c r="E150" s="2" t="s">
        <v>126</v>
      </c>
      <c r="F150" s="2" t="s">
        <v>127</v>
      </c>
      <c r="G150" s="2" t="s">
        <v>46</v>
      </c>
      <c r="H150" s="14">
        <v>4</v>
      </c>
      <c r="I150" s="11">
        <v>199.99</v>
      </c>
      <c r="J150" s="2" t="s">
        <v>57</v>
      </c>
      <c r="K150" s="2" t="s">
        <v>21</v>
      </c>
      <c r="L150" s="2" t="s">
        <v>27</v>
      </c>
      <c r="M150" s="3">
        <v>44427</v>
      </c>
      <c r="N150" s="11">
        <v>799.96</v>
      </c>
      <c r="O150" s="8" t="s">
        <v>124</v>
      </c>
      <c r="P150" t="str">
        <f t="shared" si="4"/>
        <v>Furniture</v>
      </c>
      <c r="Q150">
        <f>INDEX(D149:N399,MATCH(O150,D150:$D$251,0),11)</f>
        <v>1399.98</v>
      </c>
      <c r="R150" t="str">
        <f t="shared" si="5"/>
        <v>Premium</v>
      </c>
      <c r="S150" t="str" cm="1">
        <f t="array" ref="S150">_xlfn.IFS(L150=$L$2,"he is an "&amp;$L$2&amp;"customer",L150=$L$3,"he is an"&amp;$L$3&amp;"customer",L150=$L$4,"he is an" &amp;$L$4&amp;"customer")</f>
        <v>he is anPremiumcustomer</v>
      </c>
    </row>
    <row r="151" spans="1:19" x14ac:dyDescent="0.25">
      <c r="A151" s="2" t="s">
        <v>290</v>
      </c>
      <c r="B151" s="5">
        <v>45619</v>
      </c>
      <c r="C151" s="2" t="s">
        <v>192</v>
      </c>
      <c r="D151" s="8" t="s">
        <v>193</v>
      </c>
      <c r="E151" s="2" t="s">
        <v>31</v>
      </c>
      <c r="F151" s="2" t="s">
        <v>32</v>
      </c>
      <c r="G151" s="2" t="s">
        <v>33</v>
      </c>
      <c r="H151" s="14">
        <v>1</v>
      </c>
      <c r="I151" s="11">
        <v>59.99</v>
      </c>
      <c r="J151" s="2" t="s">
        <v>57</v>
      </c>
      <c r="K151" s="2" t="s">
        <v>50</v>
      </c>
      <c r="L151" s="2" t="s">
        <v>36</v>
      </c>
      <c r="M151" s="3">
        <v>44560</v>
      </c>
      <c r="N151" s="11">
        <v>59.99</v>
      </c>
      <c r="O151" s="8" t="s">
        <v>193</v>
      </c>
      <c r="P151" t="str">
        <f t="shared" si="4"/>
        <v>Appliances</v>
      </c>
      <c r="Q151">
        <f>INDEX(D150:N400,MATCH(O151,D151:$D$251,0),11)</f>
        <v>799.96</v>
      </c>
      <c r="R151" t="str">
        <f t="shared" si="5"/>
        <v>your customer is not Premium customer</v>
      </c>
      <c r="S151" t="str" cm="1">
        <f t="array" ref="S151">_xlfn.IFS(L151=$L$2,"he is an "&amp;$L$2&amp;"customer",L151=$L$3,"he is an"&amp;$L$3&amp;"customer",L151=$L$4,"he is an" &amp;$L$4&amp;"customer")</f>
        <v>he is anStandardcustomer</v>
      </c>
    </row>
    <row r="152" spans="1:19" x14ac:dyDescent="0.25">
      <c r="A152" s="2" t="s">
        <v>291</v>
      </c>
      <c r="B152" s="5">
        <v>45619</v>
      </c>
      <c r="C152" s="2" t="s">
        <v>154</v>
      </c>
      <c r="D152" s="8" t="s">
        <v>155</v>
      </c>
      <c r="E152" s="2" t="s">
        <v>80</v>
      </c>
      <c r="F152" s="2" t="s">
        <v>81</v>
      </c>
      <c r="G152" s="2" t="s">
        <v>19</v>
      </c>
      <c r="H152" s="14">
        <v>3</v>
      </c>
      <c r="I152" s="11">
        <v>699.99</v>
      </c>
      <c r="J152" s="2" t="s">
        <v>34</v>
      </c>
      <c r="K152" s="2" t="s">
        <v>50</v>
      </c>
      <c r="L152" s="2" t="s">
        <v>36</v>
      </c>
      <c r="M152" s="3">
        <v>44583</v>
      </c>
      <c r="N152" s="11">
        <v>2099.9699999999998</v>
      </c>
      <c r="O152" s="8" t="s">
        <v>155</v>
      </c>
      <c r="P152" t="str">
        <f t="shared" si="4"/>
        <v>Electronics</v>
      </c>
      <c r="Q152">
        <f>INDEX(D151:N401,MATCH(O152,D152:$D$251,0),11)</f>
        <v>59.99</v>
      </c>
      <c r="R152" t="str">
        <f t="shared" si="5"/>
        <v>your customer is not Premium customer</v>
      </c>
      <c r="S152" t="str" cm="1">
        <f t="array" ref="S152">_xlfn.IFS(L152=$L$2,"he is an "&amp;$L$2&amp;"customer",L152=$L$3,"he is an"&amp;$L$3&amp;"customer",L152=$L$4,"he is an" &amp;$L$4&amp;"customer")</f>
        <v>he is anStandardcustomer</v>
      </c>
    </row>
    <row r="153" spans="1:19" x14ac:dyDescent="0.25">
      <c r="A153" s="2" t="s">
        <v>292</v>
      </c>
      <c r="B153" s="5">
        <v>45622</v>
      </c>
      <c r="C153" s="2" t="s">
        <v>293</v>
      </c>
      <c r="D153" s="8" t="s">
        <v>294</v>
      </c>
      <c r="E153" s="2" t="s">
        <v>17</v>
      </c>
      <c r="F153" s="2" t="s">
        <v>18</v>
      </c>
      <c r="G153" s="2" t="s">
        <v>19</v>
      </c>
      <c r="H153" s="14">
        <v>5</v>
      </c>
      <c r="I153" s="11">
        <v>249.99</v>
      </c>
      <c r="J153" s="2" t="s">
        <v>26</v>
      </c>
      <c r="K153" s="2" t="s">
        <v>40</v>
      </c>
      <c r="L153" s="2" t="s">
        <v>22</v>
      </c>
      <c r="M153" s="3">
        <v>44873</v>
      </c>
      <c r="N153" s="11">
        <v>1249.95</v>
      </c>
      <c r="O153" s="8" t="s">
        <v>294</v>
      </c>
      <c r="P153" t="str">
        <f t="shared" si="4"/>
        <v>Electronics</v>
      </c>
      <c r="Q153">
        <f>INDEX(D152:N402,MATCH(O153,D153:$D$251,0),11)</f>
        <v>2099.9699999999998</v>
      </c>
      <c r="R153" t="str">
        <f t="shared" si="5"/>
        <v>your customer is not Premium customer</v>
      </c>
      <c r="S153" t="str" cm="1">
        <f t="array" ref="S153">_xlfn.IFS(L153=$L$2,"he is an "&amp;$L$2&amp;"customer",L153=$L$3,"he is an"&amp;$L$3&amp;"customer",L153=$L$4,"he is an" &amp;$L$4&amp;"customer")</f>
        <v>he is an Basiccustomer</v>
      </c>
    </row>
    <row r="154" spans="1:19" x14ac:dyDescent="0.25">
      <c r="A154" s="2" t="s">
        <v>295</v>
      </c>
      <c r="B154" s="5">
        <v>45623</v>
      </c>
      <c r="C154" s="2" t="s">
        <v>112</v>
      </c>
      <c r="D154" s="8" t="s">
        <v>113</v>
      </c>
      <c r="E154" s="2" t="s">
        <v>44</v>
      </c>
      <c r="F154" s="2" t="s">
        <v>45</v>
      </c>
      <c r="G154" s="2" t="s">
        <v>46</v>
      </c>
      <c r="H154" s="14">
        <v>2</v>
      </c>
      <c r="I154" s="11">
        <v>149.99</v>
      </c>
      <c r="J154" s="2" t="s">
        <v>20</v>
      </c>
      <c r="K154" s="2" t="s">
        <v>35</v>
      </c>
      <c r="L154" s="2" t="s">
        <v>36</v>
      </c>
      <c r="M154" s="3">
        <v>45101</v>
      </c>
      <c r="N154" s="11">
        <v>299.98</v>
      </c>
      <c r="O154" s="8" t="s">
        <v>113</v>
      </c>
      <c r="P154" t="str">
        <f t="shared" si="4"/>
        <v>Furniture</v>
      </c>
      <c r="Q154">
        <f>INDEX(D153:N403,MATCH(O154,D154:$D$251,0),11)</f>
        <v>1249.95</v>
      </c>
      <c r="R154" t="str">
        <f t="shared" si="5"/>
        <v>your customer is not Premium customer</v>
      </c>
      <c r="S154" t="str" cm="1">
        <f t="array" ref="S154">_xlfn.IFS(L154=$L$2,"he is an "&amp;$L$2&amp;"customer",L154=$L$3,"he is an"&amp;$L$3&amp;"customer",L154=$L$4,"he is an" &amp;$L$4&amp;"customer")</f>
        <v>he is anStandardcustomer</v>
      </c>
    </row>
    <row r="155" spans="1:19" x14ac:dyDescent="0.25">
      <c r="A155" s="2" t="s">
        <v>296</v>
      </c>
      <c r="B155" s="5">
        <v>45627</v>
      </c>
      <c r="C155" s="2" t="s">
        <v>29</v>
      </c>
      <c r="D155" s="8" t="s">
        <v>30</v>
      </c>
      <c r="E155" s="2" t="s">
        <v>105</v>
      </c>
      <c r="F155" s="2" t="s">
        <v>106</v>
      </c>
      <c r="G155" s="2" t="s">
        <v>46</v>
      </c>
      <c r="H155" s="14">
        <v>3</v>
      </c>
      <c r="I155" s="11">
        <v>299.99</v>
      </c>
      <c r="J155" s="2" t="s">
        <v>20</v>
      </c>
      <c r="K155" s="2" t="s">
        <v>35</v>
      </c>
      <c r="L155" s="2" t="s">
        <v>27</v>
      </c>
      <c r="M155" s="3">
        <v>44659</v>
      </c>
      <c r="N155" s="11">
        <v>899.97</v>
      </c>
      <c r="O155" s="8" t="s">
        <v>30</v>
      </c>
      <c r="P155" t="str">
        <f t="shared" si="4"/>
        <v>Furniture</v>
      </c>
      <c r="Q155">
        <f>INDEX(D154:N404,MATCH(O155,D155:$D$251,0),11)</f>
        <v>299.98</v>
      </c>
      <c r="R155" t="str">
        <f t="shared" si="5"/>
        <v>Premium</v>
      </c>
      <c r="S155" t="str" cm="1">
        <f t="array" ref="S155">_xlfn.IFS(L155=$L$2,"he is an "&amp;$L$2&amp;"customer",L155=$L$3,"he is an"&amp;$L$3&amp;"customer",L155=$L$4,"he is an" &amp;$L$4&amp;"customer")</f>
        <v>he is anPremiumcustomer</v>
      </c>
    </row>
    <row r="156" spans="1:19" x14ac:dyDescent="0.25">
      <c r="A156" s="2" t="s">
        <v>297</v>
      </c>
      <c r="B156" s="5">
        <v>45627</v>
      </c>
      <c r="C156" s="2" t="s">
        <v>55</v>
      </c>
      <c r="D156" s="8" t="s">
        <v>56</v>
      </c>
      <c r="E156" s="2" t="s">
        <v>17</v>
      </c>
      <c r="F156" s="2" t="s">
        <v>18</v>
      </c>
      <c r="G156" s="2" t="s">
        <v>19</v>
      </c>
      <c r="H156" s="14">
        <v>5</v>
      </c>
      <c r="I156" s="11">
        <v>249.99</v>
      </c>
      <c r="J156" s="2" t="s">
        <v>20</v>
      </c>
      <c r="K156" s="2" t="s">
        <v>21</v>
      </c>
      <c r="L156" s="2" t="s">
        <v>27</v>
      </c>
      <c r="M156" s="3">
        <v>44485</v>
      </c>
      <c r="N156" s="11">
        <v>1249.95</v>
      </c>
      <c r="O156" s="8" t="s">
        <v>56</v>
      </c>
      <c r="P156" t="str">
        <f t="shared" si="4"/>
        <v>Electronics</v>
      </c>
      <c r="Q156">
        <f>INDEX(D155:N405,MATCH(O156,D156:$D$251,0),11)</f>
        <v>899.97</v>
      </c>
      <c r="R156" t="str">
        <f t="shared" si="5"/>
        <v>Premium</v>
      </c>
      <c r="S156" t="str" cm="1">
        <f t="array" ref="S156">_xlfn.IFS(L156=$L$2,"he is an "&amp;$L$2&amp;"customer",L156=$L$3,"he is an"&amp;$L$3&amp;"customer",L156=$L$4,"he is an" &amp;$L$4&amp;"customer")</f>
        <v>he is anPremiumcustomer</v>
      </c>
    </row>
    <row r="157" spans="1:19" x14ac:dyDescent="0.25">
      <c r="A157" s="2" t="s">
        <v>298</v>
      </c>
      <c r="B157" s="5">
        <v>45627</v>
      </c>
      <c r="C157" s="2" t="s">
        <v>24</v>
      </c>
      <c r="D157" s="8" t="s">
        <v>25</v>
      </c>
      <c r="E157" s="2" t="s">
        <v>52</v>
      </c>
      <c r="F157" s="2" t="s">
        <v>53</v>
      </c>
      <c r="G157" s="2" t="s">
        <v>19</v>
      </c>
      <c r="H157" s="14">
        <v>2</v>
      </c>
      <c r="I157" s="11">
        <v>149.99</v>
      </c>
      <c r="J157" s="2" t="s">
        <v>20</v>
      </c>
      <c r="K157" s="2" t="s">
        <v>35</v>
      </c>
      <c r="L157" s="2" t="s">
        <v>27</v>
      </c>
      <c r="M157" s="3">
        <v>44475</v>
      </c>
      <c r="N157" s="11">
        <v>299.98</v>
      </c>
      <c r="O157" s="8" t="s">
        <v>25</v>
      </c>
      <c r="P157" t="str">
        <f t="shared" si="4"/>
        <v>Electronics</v>
      </c>
      <c r="Q157">
        <f>INDEX(D156:N406,MATCH(O157,D157:$D$251,0),11)</f>
        <v>1249.95</v>
      </c>
      <c r="R157" t="str">
        <f t="shared" si="5"/>
        <v>Premium</v>
      </c>
      <c r="S157" t="str" cm="1">
        <f t="array" ref="S157">_xlfn.IFS(L157=$L$2,"he is an "&amp;$L$2&amp;"customer",L157=$L$3,"he is an"&amp;$L$3&amp;"customer",L157=$L$4,"he is an" &amp;$L$4&amp;"customer")</f>
        <v>he is anPremiumcustomer</v>
      </c>
    </row>
    <row r="158" spans="1:19" x14ac:dyDescent="0.25">
      <c r="A158" s="2" t="s">
        <v>299</v>
      </c>
      <c r="B158" s="5">
        <v>45627</v>
      </c>
      <c r="C158" s="2" t="s">
        <v>86</v>
      </c>
      <c r="D158" s="8" t="s">
        <v>87</v>
      </c>
      <c r="E158" s="2" t="s">
        <v>80</v>
      </c>
      <c r="F158" s="2" t="s">
        <v>81</v>
      </c>
      <c r="G158" s="2" t="s">
        <v>19</v>
      </c>
      <c r="H158" s="14">
        <v>5</v>
      </c>
      <c r="I158" s="11">
        <v>699.99</v>
      </c>
      <c r="J158" s="2" t="s">
        <v>57</v>
      </c>
      <c r="K158" s="2" t="s">
        <v>50</v>
      </c>
      <c r="L158" s="2" t="s">
        <v>36</v>
      </c>
      <c r="M158" s="3">
        <v>44944</v>
      </c>
      <c r="N158" s="11">
        <v>3499.95</v>
      </c>
      <c r="O158" s="8" t="s">
        <v>87</v>
      </c>
      <c r="P158" t="str">
        <f t="shared" si="4"/>
        <v>Electronics</v>
      </c>
      <c r="Q158">
        <f>INDEX(D157:N407,MATCH(O158,D158:$D$251,0),11)</f>
        <v>299.98</v>
      </c>
      <c r="R158" t="str">
        <f t="shared" si="5"/>
        <v>your customer is not Premium customer</v>
      </c>
      <c r="S158" t="str" cm="1">
        <f t="array" ref="S158">_xlfn.IFS(L158=$L$2,"he is an "&amp;$L$2&amp;"customer",L158=$L$3,"he is an"&amp;$L$3&amp;"customer",L158=$L$4,"he is an" &amp;$L$4&amp;"customer")</f>
        <v>he is anStandardcustomer</v>
      </c>
    </row>
    <row r="159" spans="1:19" x14ac:dyDescent="0.25">
      <c r="A159" s="2" t="s">
        <v>300</v>
      </c>
      <c r="B159" s="5">
        <v>45629</v>
      </c>
      <c r="C159" s="2" t="s">
        <v>252</v>
      </c>
      <c r="D159" s="8" t="s">
        <v>253</v>
      </c>
      <c r="E159" s="2" t="s">
        <v>17</v>
      </c>
      <c r="F159" s="2" t="s">
        <v>18</v>
      </c>
      <c r="G159" s="2" t="s">
        <v>19</v>
      </c>
      <c r="H159" s="14">
        <v>4</v>
      </c>
      <c r="I159" s="11">
        <v>249.99</v>
      </c>
      <c r="J159" s="2" t="s">
        <v>34</v>
      </c>
      <c r="K159" s="2" t="s">
        <v>63</v>
      </c>
      <c r="L159" s="2" t="s">
        <v>27</v>
      </c>
      <c r="M159" s="3">
        <v>45098</v>
      </c>
      <c r="N159" s="11">
        <v>999.96</v>
      </c>
      <c r="O159" s="8" t="s">
        <v>253</v>
      </c>
      <c r="P159" t="str">
        <f t="shared" si="4"/>
        <v>Electronics</v>
      </c>
      <c r="Q159">
        <f>INDEX(D158:N408,MATCH(O159,D159:$D$251,0),11)</f>
        <v>3499.95</v>
      </c>
      <c r="R159" t="str">
        <f t="shared" si="5"/>
        <v>Premium</v>
      </c>
      <c r="S159" t="str" cm="1">
        <f t="array" ref="S159">_xlfn.IFS(L159=$L$2,"he is an "&amp;$L$2&amp;"customer",L159=$L$3,"he is an"&amp;$L$3&amp;"customer",L159=$L$4,"he is an" &amp;$L$4&amp;"customer")</f>
        <v>he is anPremiumcustomer</v>
      </c>
    </row>
    <row r="160" spans="1:19" x14ac:dyDescent="0.25">
      <c r="A160" s="2" t="s">
        <v>301</v>
      </c>
      <c r="B160" s="5">
        <v>45630</v>
      </c>
      <c r="C160" s="2" t="s">
        <v>48</v>
      </c>
      <c r="D160" s="8" t="s">
        <v>49</v>
      </c>
      <c r="E160" s="2" t="s">
        <v>80</v>
      </c>
      <c r="F160" s="2" t="s">
        <v>81</v>
      </c>
      <c r="G160" s="2" t="s">
        <v>19</v>
      </c>
      <c r="H160" s="14">
        <v>4</v>
      </c>
      <c r="I160" s="11">
        <v>699.99</v>
      </c>
      <c r="J160" s="2" t="s">
        <v>26</v>
      </c>
      <c r="K160" s="2" t="s">
        <v>40</v>
      </c>
      <c r="L160" s="2" t="s">
        <v>27</v>
      </c>
      <c r="M160" s="3">
        <v>44703</v>
      </c>
      <c r="N160" s="11">
        <v>2799.96</v>
      </c>
      <c r="O160" s="8" t="s">
        <v>49</v>
      </c>
      <c r="P160" t="str">
        <f t="shared" si="4"/>
        <v>Electronics</v>
      </c>
      <c r="Q160">
        <f>INDEX(D159:N409,MATCH(O160,D160:$D$251,0),11)</f>
        <v>999.96</v>
      </c>
      <c r="R160" t="str">
        <f t="shared" si="5"/>
        <v>Premium</v>
      </c>
      <c r="S160" t="str" cm="1">
        <f t="array" ref="S160">_xlfn.IFS(L160=$L$2,"he is an "&amp;$L$2&amp;"customer",L160=$L$3,"he is an"&amp;$L$3&amp;"customer",L160=$L$4,"he is an" &amp;$L$4&amp;"customer")</f>
        <v>he is anPremiumcustomer</v>
      </c>
    </row>
    <row r="161" spans="1:19" x14ac:dyDescent="0.25">
      <c r="A161" s="2" t="s">
        <v>302</v>
      </c>
      <c r="B161" s="5">
        <v>45635</v>
      </c>
      <c r="C161" s="2" t="s">
        <v>108</v>
      </c>
      <c r="D161" s="8" t="s">
        <v>109</v>
      </c>
      <c r="E161" s="2" t="s">
        <v>17</v>
      </c>
      <c r="F161" s="2" t="s">
        <v>18</v>
      </c>
      <c r="G161" s="2" t="s">
        <v>19</v>
      </c>
      <c r="H161" s="14">
        <v>2</v>
      </c>
      <c r="I161" s="11">
        <v>249.99</v>
      </c>
      <c r="J161" s="2" t="s">
        <v>26</v>
      </c>
      <c r="K161" s="2" t="s">
        <v>21</v>
      </c>
      <c r="L161" s="2" t="s">
        <v>27</v>
      </c>
      <c r="M161" s="3">
        <v>44396</v>
      </c>
      <c r="N161" s="11">
        <v>499.98</v>
      </c>
      <c r="O161" s="8" t="s">
        <v>109</v>
      </c>
      <c r="P161" t="str">
        <f t="shared" si="4"/>
        <v>Electronics</v>
      </c>
      <c r="Q161">
        <f>INDEX(D160:N410,MATCH(O161,D161:$D$251,0),11)</f>
        <v>2799.96</v>
      </c>
      <c r="R161" t="str">
        <f t="shared" si="5"/>
        <v>Premium</v>
      </c>
      <c r="S161" t="str" cm="1">
        <f t="array" ref="S161">_xlfn.IFS(L161=$L$2,"he is an "&amp;$L$2&amp;"customer",L161=$L$3,"he is an"&amp;$L$3&amp;"customer",L161=$L$4,"he is an" &amp;$L$4&amp;"customer")</f>
        <v>he is anPremiumcustomer</v>
      </c>
    </row>
    <row r="162" spans="1:19" x14ac:dyDescent="0.25">
      <c r="A162" s="2" t="s">
        <v>303</v>
      </c>
      <c r="B162" s="5">
        <v>45635</v>
      </c>
      <c r="C162" s="2" t="s">
        <v>304</v>
      </c>
      <c r="D162" s="8" t="s">
        <v>305</v>
      </c>
      <c r="E162" s="2" t="s">
        <v>31</v>
      </c>
      <c r="F162" s="2" t="s">
        <v>32</v>
      </c>
      <c r="G162" s="2" t="s">
        <v>33</v>
      </c>
      <c r="H162" s="14">
        <v>3</v>
      </c>
      <c r="I162" s="11">
        <v>59.99</v>
      </c>
      <c r="J162" s="2" t="s">
        <v>20</v>
      </c>
      <c r="K162" s="2" t="s">
        <v>21</v>
      </c>
      <c r="L162" s="2" t="s">
        <v>27</v>
      </c>
      <c r="M162" s="3">
        <v>45052</v>
      </c>
      <c r="N162" s="11">
        <v>179.97</v>
      </c>
      <c r="O162" s="8" t="s">
        <v>305</v>
      </c>
      <c r="P162" t="str">
        <f t="shared" si="4"/>
        <v>Appliances</v>
      </c>
      <c r="Q162">
        <f>INDEX(D161:N411,MATCH(O162,D162:$D$251,0),11)</f>
        <v>499.98</v>
      </c>
      <c r="R162" t="str">
        <f t="shared" si="5"/>
        <v>Premium</v>
      </c>
      <c r="S162" t="str" cm="1">
        <f t="array" ref="S162">_xlfn.IFS(L162=$L$2,"he is an "&amp;$L$2&amp;"customer",L162=$L$3,"he is an"&amp;$L$3&amp;"customer",L162=$L$4,"he is an" &amp;$L$4&amp;"customer")</f>
        <v>he is anPremiumcustomer</v>
      </c>
    </row>
    <row r="163" spans="1:19" x14ac:dyDescent="0.25">
      <c r="A163" s="2" t="s">
        <v>306</v>
      </c>
      <c r="B163" s="5">
        <v>45635</v>
      </c>
      <c r="C163" s="2" t="s">
        <v>141</v>
      </c>
      <c r="D163" s="8" t="s">
        <v>142</v>
      </c>
      <c r="E163" s="2" t="s">
        <v>114</v>
      </c>
      <c r="F163" s="2" t="s">
        <v>115</v>
      </c>
      <c r="G163" s="2" t="s">
        <v>33</v>
      </c>
      <c r="H163" s="14">
        <v>4</v>
      </c>
      <c r="I163" s="11">
        <v>79.989999999999995</v>
      </c>
      <c r="J163" s="2" t="s">
        <v>57</v>
      </c>
      <c r="K163" s="2" t="s">
        <v>63</v>
      </c>
      <c r="L163" s="2" t="s">
        <v>36</v>
      </c>
      <c r="M163" s="3">
        <v>44921</v>
      </c>
      <c r="N163" s="11">
        <v>319.95999999999998</v>
      </c>
      <c r="O163" s="8" t="s">
        <v>142</v>
      </c>
      <c r="P163" t="str">
        <f t="shared" si="4"/>
        <v>Appliances</v>
      </c>
      <c r="Q163">
        <f>INDEX(D162:N412,MATCH(O163,D163:$D$251,0),11)</f>
        <v>179.97</v>
      </c>
      <c r="R163" t="str">
        <f t="shared" si="5"/>
        <v>your customer is not Premium customer</v>
      </c>
      <c r="S163" t="str" cm="1">
        <f t="array" ref="S163">_xlfn.IFS(L163=$L$2,"he is an "&amp;$L$2&amp;"customer",L163=$L$3,"he is an"&amp;$L$3&amp;"customer",L163=$L$4,"he is an" &amp;$L$4&amp;"customer")</f>
        <v>he is anStandardcustomer</v>
      </c>
    </row>
    <row r="164" spans="1:19" x14ac:dyDescent="0.25">
      <c r="A164" s="2" t="s">
        <v>307</v>
      </c>
      <c r="B164" s="5">
        <v>45636</v>
      </c>
      <c r="C164" s="2" t="s">
        <v>120</v>
      </c>
      <c r="D164" s="8" t="s">
        <v>121</v>
      </c>
      <c r="E164" s="2" t="s">
        <v>114</v>
      </c>
      <c r="F164" s="2" t="s">
        <v>115</v>
      </c>
      <c r="G164" s="2" t="s">
        <v>33</v>
      </c>
      <c r="H164" s="14">
        <v>3</v>
      </c>
      <c r="I164" s="11">
        <v>79.989999999999995</v>
      </c>
      <c r="J164" s="2" t="s">
        <v>57</v>
      </c>
      <c r="K164" s="2" t="s">
        <v>63</v>
      </c>
      <c r="L164" s="2" t="s">
        <v>36</v>
      </c>
      <c r="M164" s="3">
        <v>44779</v>
      </c>
      <c r="N164" s="11">
        <v>239.97</v>
      </c>
      <c r="O164" s="8" t="s">
        <v>121</v>
      </c>
      <c r="P164" t="str">
        <f t="shared" si="4"/>
        <v>Appliances</v>
      </c>
      <c r="Q164">
        <f>INDEX(D163:N413,MATCH(O164,D164:$D$251,0),11)</f>
        <v>319.95999999999998</v>
      </c>
      <c r="R164" t="str">
        <f t="shared" si="5"/>
        <v>your customer is not Premium customer</v>
      </c>
      <c r="S164" t="str" cm="1">
        <f t="array" ref="S164">_xlfn.IFS(L164=$L$2,"he is an "&amp;$L$2&amp;"customer",L164=$L$3,"he is an"&amp;$L$3&amp;"customer",L164=$L$4,"he is an" &amp;$L$4&amp;"customer")</f>
        <v>he is anStandardcustomer</v>
      </c>
    </row>
    <row r="165" spans="1:19" x14ac:dyDescent="0.25">
      <c r="A165" s="2" t="s">
        <v>308</v>
      </c>
      <c r="B165" s="5">
        <v>45638</v>
      </c>
      <c r="C165" s="2" t="s">
        <v>72</v>
      </c>
      <c r="D165" s="8" t="s">
        <v>73</v>
      </c>
      <c r="E165" s="2" t="s">
        <v>61</v>
      </c>
      <c r="F165" s="2" t="s">
        <v>62</v>
      </c>
      <c r="G165" s="2" t="s">
        <v>19</v>
      </c>
      <c r="H165" s="14">
        <v>2</v>
      </c>
      <c r="I165" s="11">
        <v>899.99</v>
      </c>
      <c r="J165" s="2" t="s">
        <v>20</v>
      </c>
      <c r="K165" s="2" t="s">
        <v>40</v>
      </c>
      <c r="L165" s="2" t="s">
        <v>22</v>
      </c>
      <c r="M165" s="3">
        <v>44406</v>
      </c>
      <c r="N165" s="11">
        <v>1799.98</v>
      </c>
      <c r="O165" s="8" t="s">
        <v>73</v>
      </c>
      <c r="P165" t="str">
        <f t="shared" si="4"/>
        <v>Electronics</v>
      </c>
      <c r="Q165">
        <f>INDEX(D164:N414,MATCH(O165,D165:$D$251,0),11)</f>
        <v>239.97</v>
      </c>
      <c r="R165" t="str">
        <f t="shared" si="5"/>
        <v>your customer is not Premium customer</v>
      </c>
      <c r="S165" t="str" cm="1">
        <f t="array" ref="S165">_xlfn.IFS(L165=$L$2,"he is an "&amp;$L$2&amp;"customer",L165=$L$3,"he is an"&amp;$L$3&amp;"customer",L165=$L$4,"he is an" &amp;$L$4&amp;"customer")</f>
        <v>he is an Basiccustomer</v>
      </c>
    </row>
    <row r="166" spans="1:19" x14ac:dyDescent="0.25">
      <c r="A166" s="2" t="s">
        <v>309</v>
      </c>
      <c r="B166" s="5">
        <v>45641</v>
      </c>
      <c r="C166" s="2" t="s">
        <v>182</v>
      </c>
      <c r="D166" s="8" t="s">
        <v>183</v>
      </c>
      <c r="E166" s="2" t="s">
        <v>44</v>
      </c>
      <c r="F166" s="2" t="s">
        <v>45</v>
      </c>
      <c r="G166" s="2" t="s">
        <v>46</v>
      </c>
      <c r="H166" s="14">
        <v>1</v>
      </c>
      <c r="I166" s="11">
        <v>149.99</v>
      </c>
      <c r="J166" s="2" t="s">
        <v>57</v>
      </c>
      <c r="K166" s="2" t="s">
        <v>63</v>
      </c>
      <c r="L166" s="2" t="s">
        <v>36</v>
      </c>
      <c r="M166" s="3">
        <v>45200</v>
      </c>
      <c r="N166" s="11">
        <v>149.99</v>
      </c>
      <c r="O166" s="8" t="s">
        <v>183</v>
      </c>
      <c r="P166" t="str">
        <f t="shared" si="4"/>
        <v>Furniture</v>
      </c>
      <c r="Q166">
        <f>INDEX(D165:N415,MATCH(O166,D166:$D$251,0),11)</f>
        <v>1799.98</v>
      </c>
      <c r="R166" t="str">
        <f t="shared" si="5"/>
        <v>your customer is not Premium customer</v>
      </c>
      <c r="S166" t="str" cm="1">
        <f t="array" ref="S166">_xlfn.IFS(L166=$L$2,"he is an "&amp;$L$2&amp;"customer",L166=$L$3,"he is an"&amp;$L$3&amp;"customer",L166=$L$4,"he is an" &amp;$L$4&amp;"customer")</f>
        <v>he is anStandardcustomer</v>
      </c>
    </row>
    <row r="167" spans="1:19" x14ac:dyDescent="0.25">
      <c r="A167" s="2" t="s">
        <v>310</v>
      </c>
      <c r="B167" s="5">
        <v>45641</v>
      </c>
      <c r="C167" s="2" t="s">
        <v>138</v>
      </c>
      <c r="D167" s="8" t="s">
        <v>139</v>
      </c>
      <c r="E167" s="2" t="s">
        <v>105</v>
      </c>
      <c r="F167" s="2" t="s">
        <v>106</v>
      </c>
      <c r="G167" s="2" t="s">
        <v>46</v>
      </c>
      <c r="H167" s="14">
        <v>2</v>
      </c>
      <c r="I167" s="11">
        <v>299.99</v>
      </c>
      <c r="J167" s="2" t="s">
        <v>20</v>
      </c>
      <c r="K167" s="2" t="s">
        <v>63</v>
      </c>
      <c r="L167" s="2" t="s">
        <v>27</v>
      </c>
      <c r="M167" s="3">
        <v>44724</v>
      </c>
      <c r="N167" s="11">
        <v>599.98</v>
      </c>
      <c r="O167" s="8" t="s">
        <v>139</v>
      </c>
      <c r="P167" t="str">
        <f t="shared" si="4"/>
        <v>Furniture</v>
      </c>
      <c r="Q167">
        <f>INDEX(D166:N416,MATCH(O167,D167:$D$251,0),11)</f>
        <v>149.99</v>
      </c>
      <c r="R167" t="str">
        <f t="shared" si="5"/>
        <v>Premium</v>
      </c>
      <c r="S167" t="str" cm="1">
        <f t="array" ref="S167">_xlfn.IFS(L167=$L$2,"he is an "&amp;$L$2&amp;"customer",L167=$L$3,"he is an"&amp;$L$3&amp;"customer",L167=$L$4,"he is an" &amp;$L$4&amp;"customer")</f>
        <v>he is anPremiumcustomer</v>
      </c>
    </row>
    <row r="168" spans="1:19" x14ac:dyDescent="0.25">
      <c r="A168" s="2" t="s">
        <v>311</v>
      </c>
      <c r="B168" s="5">
        <v>45644</v>
      </c>
      <c r="C168" s="2" t="s">
        <v>132</v>
      </c>
      <c r="D168" s="8" t="s">
        <v>133</v>
      </c>
      <c r="E168" s="2" t="s">
        <v>31</v>
      </c>
      <c r="F168" s="2" t="s">
        <v>32</v>
      </c>
      <c r="G168" s="2" t="s">
        <v>33</v>
      </c>
      <c r="H168" s="14">
        <v>2</v>
      </c>
      <c r="I168" s="11">
        <v>59.99</v>
      </c>
      <c r="J168" s="2" t="s">
        <v>20</v>
      </c>
      <c r="K168" s="2" t="s">
        <v>50</v>
      </c>
      <c r="L168" s="2" t="s">
        <v>22</v>
      </c>
      <c r="M168" s="3">
        <v>45191</v>
      </c>
      <c r="N168" s="11">
        <v>119.98</v>
      </c>
      <c r="O168" s="8" t="s">
        <v>133</v>
      </c>
      <c r="P168" t="str">
        <f t="shared" si="4"/>
        <v>Appliances</v>
      </c>
      <c r="Q168">
        <f>INDEX(D167:N417,MATCH(O168,D168:$D$251,0),11)</f>
        <v>599.98</v>
      </c>
      <c r="R168" t="str">
        <f t="shared" si="5"/>
        <v>your customer is not Premium customer</v>
      </c>
      <c r="S168" t="str" cm="1">
        <f t="array" ref="S168">_xlfn.IFS(L168=$L$2,"he is an "&amp;$L$2&amp;"customer",L168=$L$3,"he is an"&amp;$L$3&amp;"customer",L168=$L$4,"he is an" &amp;$L$4&amp;"customer")</f>
        <v>he is an Basiccustomer</v>
      </c>
    </row>
    <row r="169" spans="1:19" x14ac:dyDescent="0.25">
      <c r="A169" s="2" t="s">
        <v>312</v>
      </c>
      <c r="B169" s="5">
        <v>45645</v>
      </c>
      <c r="C169" s="2" t="s">
        <v>182</v>
      </c>
      <c r="D169" s="8" t="s">
        <v>183</v>
      </c>
      <c r="E169" s="2" t="s">
        <v>117</v>
      </c>
      <c r="F169" s="2" t="s">
        <v>118</v>
      </c>
      <c r="G169" s="2" t="s">
        <v>19</v>
      </c>
      <c r="H169" s="14">
        <v>1</v>
      </c>
      <c r="I169" s="11">
        <v>89.99</v>
      </c>
      <c r="J169" s="2" t="s">
        <v>57</v>
      </c>
      <c r="K169" s="2" t="s">
        <v>21</v>
      </c>
      <c r="L169" s="2" t="s">
        <v>36</v>
      </c>
      <c r="M169" s="3">
        <v>44760</v>
      </c>
      <c r="N169" s="11">
        <v>89.99</v>
      </c>
      <c r="O169" s="8" t="s">
        <v>183</v>
      </c>
      <c r="P169" t="str">
        <f t="shared" si="4"/>
        <v>Electronics</v>
      </c>
      <c r="Q169">
        <f>INDEX(D168:N418,MATCH(O169,D169:$D$251,0),11)</f>
        <v>119.98</v>
      </c>
      <c r="R169" t="str">
        <f t="shared" si="5"/>
        <v>your customer is not Premium customer</v>
      </c>
      <c r="S169" t="str" cm="1">
        <f t="array" ref="S169">_xlfn.IFS(L169=$L$2,"he is an "&amp;$L$2&amp;"customer",L169=$L$3,"he is an"&amp;$L$3&amp;"customer",L169=$L$4,"he is an" &amp;$L$4&amp;"customer")</f>
        <v>he is anStandardcustomer</v>
      </c>
    </row>
    <row r="170" spans="1:19" x14ac:dyDescent="0.25">
      <c r="A170" s="2" t="s">
        <v>313</v>
      </c>
      <c r="B170" s="5">
        <v>45645</v>
      </c>
      <c r="C170" s="2" t="s">
        <v>147</v>
      </c>
      <c r="D170" s="8" t="s">
        <v>148</v>
      </c>
      <c r="E170" s="2" t="s">
        <v>61</v>
      </c>
      <c r="F170" s="2" t="s">
        <v>62</v>
      </c>
      <c r="G170" s="2" t="s">
        <v>19</v>
      </c>
      <c r="H170" s="14">
        <v>5</v>
      </c>
      <c r="I170" s="11">
        <v>899.99</v>
      </c>
      <c r="J170" s="2" t="s">
        <v>57</v>
      </c>
      <c r="K170" s="2" t="s">
        <v>63</v>
      </c>
      <c r="L170" s="2" t="s">
        <v>36</v>
      </c>
      <c r="M170" s="3">
        <v>44625</v>
      </c>
      <c r="N170" s="11">
        <v>4499.95</v>
      </c>
      <c r="O170" s="8" t="s">
        <v>148</v>
      </c>
      <c r="P170" t="str">
        <f t="shared" si="4"/>
        <v>Electronics</v>
      </c>
      <c r="Q170">
        <f>INDEX(D169:N419,MATCH(O170,D170:$D$251,0),11)</f>
        <v>89.99</v>
      </c>
      <c r="R170" t="str">
        <f t="shared" si="5"/>
        <v>your customer is not Premium customer</v>
      </c>
      <c r="S170" t="str" cm="1">
        <f t="array" ref="S170">_xlfn.IFS(L170=$L$2,"he is an "&amp;$L$2&amp;"customer",L170=$L$3,"he is an"&amp;$L$3&amp;"customer",L170=$L$4,"he is an" &amp;$L$4&amp;"customer")</f>
        <v>he is anStandardcustomer</v>
      </c>
    </row>
    <row r="171" spans="1:19" x14ac:dyDescent="0.25">
      <c r="A171" s="2" t="s">
        <v>314</v>
      </c>
      <c r="B171" s="5">
        <v>45646</v>
      </c>
      <c r="C171" s="2" t="s">
        <v>42</v>
      </c>
      <c r="D171" s="8" t="s">
        <v>43</v>
      </c>
      <c r="E171" s="2" t="s">
        <v>44</v>
      </c>
      <c r="F171" s="2" t="s">
        <v>45</v>
      </c>
      <c r="G171" s="2" t="s">
        <v>46</v>
      </c>
      <c r="H171" s="14">
        <v>2</v>
      </c>
      <c r="I171" s="11">
        <v>149.99</v>
      </c>
      <c r="J171" s="2" t="s">
        <v>20</v>
      </c>
      <c r="K171" s="2" t="s">
        <v>35</v>
      </c>
      <c r="L171" s="2" t="s">
        <v>22</v>
      </c>
      <c r="M171" s="3">
        <v>45239</v>
      </c>
      <c r="N171" s="11">
        <v>299.98</v>
      </c>
      <c r="O171" s="8" t="s">
        <v>43</v>
      </c>
      <c r="P171" t="str">
        <f t="shared" si="4"/>
        <v>Furniture</v>
      </c>
      <c r="Q171">
        <f>INDEX(D170:N420,MATCH(O171,D171:$D$251,0),11)</f>
        <v>4499.95</v>
      </c>
      <c r="R171" t="str">
        <f t="shared" si="5"/>
        <v>your customer is not Premium customer</v>
      </c>
      <c r="S171" t="str" cm="1">
        <f t="array" ref="S171">_xlfn.IFS(L171=$L$2,"he is an "&amp;$L$2&amp;"customer",L171=$L$3,"he is an"&amp;$L$3&amp;"customer",L171=$L$4,"he is an" &amp;$L$4&amp;"customer")</f>
        <v>he is an Basiccustomer</v>
      </c>
    </row>
    <row r="172" spans="1:19" x14ac:dyDescent="0.25">
      <c r="A172" s="2" t="s">
        <v>315</v>
      </c>
      <c r="B172" s="5">
        <v>45648</v>
      </c>
      <c r="C172" s="2" t="s">
        <v>112</v>
      </c>
      <c r="D172" s="8" t="s">
        <v>113</v>
      </c>
      <c r="E172" s="2" t="s">
        <v>52</v>
      </c>
      <c r="F172" s="2" t="s">
        <v>53</v>
      </c>
      <c r="G172" s="2" t="s">
        <v>19</v>
      </c>
      <c r="H172" s="14">
        <v>2</v>
      </c>
      <c r="I172" s="11">
        <v>149.99</v>
      </c>
      <c r="J172" s="2" t="s">
        <v>57</v>
      </c>
      <c r="K172" s="2" t="s">
        <v>50</v>
      </c>
      <c r="L172" s="2" t="s">
        <v>27</v>
      </c>
      <c r="M172" s="3">
        <v>45280</v>
      </c>
      <c r="N172" s="11">
        <v>299.98</v>
      </c>
      <c r="O172" s="8" t="s">
        <v>113</v>
      </c>
      <c r="P172" t="str">
        <f t="shared" si="4"/>
        <v>Electronics</v>
      </c>
      <c r="Q172">
        <f>INDEX(D171:N421,MATCH(O172,D172:$D$251,0),11)</f>
        <v>299.98</v>
      </c>
      <c r="R172" t="str">
        <f t="shared" si="5"/>
        <v>Premium</v>
      </c>
      <c r="S172" t="str" cm="1">
        <f t="array" ref="S172">_xlfn.IFS(L172=$L$2,"he is an "&amp;$L$2&amp;"customer",L172=$L$3,"he is an"&amp;$L$3&amp;"customer",L172=$L$4,"he is an" &amp;$L$4&amp;"customer")</f>
        <v>he is anPremiumcustomer</v>
      </c>
    </row>
    <row r="173" spans="1:19" x14ac:dyDescent="0.25">
      <c r="A173" s="2" t="s">
        <v>316</v>
      </c>
      <c r="B173" s="5">
        <v>45648</v>
      </c>
      <c r="C173" s="2" t="s">
        <v>182</v>
      </c>
      <c r="D173" s="8" t="s">
        <v>183</v>
      </c>
      <c r="E173" s="2" t="s">
        <v>44</v>
      </c>
      <c r="F173" s="2" t="s">
        <v>45</v>
      </c>
      <c r="G173" s="2" t="s">
        <v>46</v>
      </c>
      <c r="H173" s="14">
        <v>3</v>
      </c>
      <c r="I173" s="11">
        <v>149.99</v>
      </c>
      <c r="J173" s="2" t="s">
        <v>57</v>
      </c>
      <c r="K173" s="2" t="s">
        <v>40</v>
      </c>
      <c r="L173" s="2" t="s">
        <v>36</v>
      </c>
      <c r="M173" s="3">
        <v>44522</v>
      </c>
      <c r="N173" s="11">
        <v>449.97</v>
      </c>
      <c r="O173" s="8" t="s">
        <v>183</v>
      </c>
      <c r="P173" t="str">
        <f t="shared" si="4"/>
        <v>Furniture</v>
      </c>
      <c r="Q173">
        <f>INDEX(D172:N422,MATCH(O173,D173:$D$251,0),11)</f>
        <v>299.98</v>
      </c>
      <c r="R173" t="str">
        <f t="shared" si="5"/>
        <v>your customer is not Premium customer</v>
      </c>
      <c r="S173" t="str" cm="1">
        <f t="array" ref="S173">_xlfn.IFS(L173=$L$2,"he is an "&amp;$L$2&amp;"customer",L173=$L$3,"he is an"&amp;$L$3&amp;"customer",L173=$L$4,"he is an" &amp;$L$4&amp;"customer")</f>
        <v>he is anStandardcustomer</v>
      </c>
    </row>
    <row r="174" spans="1:19" x14ac:dyDescent="0.25">
      <c r="A174" s="2" t="s">
        <v>317</v>
      </c>
      <c r="B174" s="5">
        <v>45649</v>
      </c>
      <c r="C174" s="2" t="s">
        <v>29</v>
      </c>
      <c r="D174" s="8" t="s">
        <v>30</v>
      </c>
      <c r="E174" s="2" t="s">
        <v>105</v>
      </c>
      <c r="F174" s="2" t="s">
        <v>106</v>
      </c>
      <c r="G174" s="2" t="s">
        <v>46</v>
      </c>
      <c r="H174" s="14">
        <v>2</v>
      </c>
      <c r="I174" s="11">
        <v>299.99</v>
      </c>
      <c r="J174" s="2" t="s">
        <v>34</v>
      </c>
      <c r="K174" s="2" t="s">
        <v>35</v>
      </c>
      <c r="L174" s="2" t="s">
        <v>22</v>
      </c>
      <c r="M174" s="3">
        <v>44721</v>
      </c>
      <c r="N174" s="11">
        <v>599.98</v>
      </c>
      <c r="O174" s="8" t="s">
        <v>30</v>
      </c>
      <c r="P174" t="str">
        <f t="shared" si="4"/>
        <v>Furniture</v>
      </c>
      <c r="Q174">
        <f>INDEX(D173:N423,MATCH(O174,D174:$D$251,0),11)</f>
        <v>449.97</v>
      </c>
      <c r="R174" t="str">
        <f t="shared" si="5"/>
        <v>your customer is not Premium customer</v>
      </c>
      <c r="S174" t="str" cm="1">
        <f t="array" ref="S174">_xlfn.IFS(L174=$L$2,"he is an "&amp;$L$2&amp;"customer",L174=$L$3,"he is an"&amp;$L$3&amp;"customer",L174=$L$4,"he is an" &amp;$L$4&amp;"customer")</f>
        <v>he is an Basiccustomer</v>
      </c>
    </row>
    <row r="175" spans="1:19" x14ac:dyDescent="0.25">
      <c r="A175" s="2" t="s">
        <v>318</v>
      </c>
      <c r="B175" s="5">
        <v>45654</v>
      </c>
      <c r="C175" s="2" t="s">
        <v>42</v>
      </c>
      <c r="D175" s="8" t="s">
        <v>43</v>
      </c>
      <c r="E175" s="2" t="s">
        <v>105</v>
      </c>
      <c r="F175" s="2" t="s">
        <v>106</v>
      </c>
      <c r="G175" s="2" t="s">
        <v>46</v>
      </c>
      <c r="H175" s="14">
        <v>2</v>
      </c>
      <c r="I175" s="11">
        <v>299.99</v>
      </c>
      <c r="J175" s="2" t="s">
        <v>20</v>
      </c>
      <c r="K175" s="2" t="s">
        <v>50</v>
      </c>
      <c r="L175" s="2" t="s">
        <v>22</v>
      </c>
      <c r="M175" s="3">
        <v>44771</v>
      </c>
      <c r="N175" s="11">
        <v>599.98</v>
      </c>
      <c r="O175" s="8" t="s">
        <v>43</v>
      </c>
      <c r="P175" t="str">
        <f t="shared" si="4"/>
        <v>Furniture</v>
      </c>
      <c r="Q175">
        <f>INDEX(D174:N424,MATCH(O175,D175:$D$251,0),11)</f>
        <v>599.98</v>
      </c>
      <c r="R175" t="str">
        <f t="shared" si="5"/>
        <v>your customer is not Premium customer</v>
      </c>
      <c r="S175" t="str" cm="1">
        <f t="array" ref="S175">_xlfn.IFS(L175=$L$2,"he is an "&amp;$L$2&amp;"customer",L175=$L$3,"he is an"&amp;$L$3&amp;"customer",L175=$L$4,"he is an" &amp;$L$4&amp;"customer")</f>
        <v>he is an Basiccustomer</v>
      </c>
    </row>
    <row r="176" spans="1:19" x14ac:dyDescent="0.25">
      <c r="A176" s="2" t="s">
        <v>319</v>
      </c>
      <c r="B176" s="5">
        <v>45654</v>
      </c>
      <c r="C176" s="2" t="s">
        <v>120</v>
      </c>
      <c r="D176" s="8" t="s">
        <v>121</v>
      </c>
      <c r="E176" s="2" t="s">
        <v>126</v>
      </c>
      <c r="F176" s="2" t="s">
        <v>127</v>
      </c>
      <c r="G176" s="2" t="s">
        <v>46</v>
      </c>
      <c r="H176" s="14">
        <v>4</v>
      </c>
      <c r="I176" s="11">
        <v>199.99</v>
      </c>
      <c r="J176" s="2" t="s">
        <v>26</v>
      </c>
      <c r="K176" s="2" t="s">
        <v>21</v>
      </c>
      <c r="L176" s="2" t="s">
        <v>22</v>
      </c>
      <c r="M176" s="3">
        <v>44523</v>
      </c>
      <c r="N176" s="11">
        <v>799.96</v>
      </c>
      <c r="O176" s="8" t="s">
        <v>121</v>
      </c>
      <c r="P176" t="str">
        <f t="shared" si="4"/>
        <v>Furniture</v>
      </c>
      <c r="Q176">
        <f>INDEX(D175:N425,MATCH(O176,D176:$D$251,0),11)</f>
        <v>599.98</v>
      </c>
      <c r="R176" t="str">
        <f t="shared" si="5"/>
        <v>your customer is not Premium customer</v>
      </c>
      <c r="S176" t="str" cm="1">
        <f t="array" ref="S176">_xlfn.IFS(L176=$L$2,"he is an "&amp;$L$2&amp;"customer",L176=$L$3,"he is an"&amp;$L$3&amp;"customer",L176=$L$4,"he is an" &amp;$L$4&amp;"customer")</f>
        <v>he is an Basiccustomer</v>
      </c>
    </row>
    <row r="177" spans="1:19" x14ac:dyDescent="0.25">
      <c r="A177" s="2" t="s">
        <v>320</v>
      </c>
      <c r="B177" s="5">
        <v>45655</v>
      </c>
      <c r="C177" s="2" t="s">
        <v>59</v>
      </c>
      <c r="D177" s="8" t="s">
        <v>60</v>
      </c>
      <c r="E177" s="2" t="s">
        <v>117</v>
      </c>
      <c r="F177" s="2" t="s">
        <v>118</v>
      </c>
      <c r="G177" s="2" t="s">
        <v>19</v>
      </c>
      <c r="H177" s="14">
        <v>1</v>
      </c>
      <c r="I177" s="11">
        <v>89.99</v>
      </c>
      <c r="J177" s="2" t="s">
        <v>26</v>
      </c>
      <c r="K177" s="2" t="s">
        <v>35</v>
      </c>
      <c r="L177" s="2" t="s">
        <v>27</v>
      </c>
      <c r="M177" s="3">
        <v>44591</v>
      </c>
      <c r="N177" s="11">
        <v>89.99</v>
      </c>
      <c r="O177" s="8" t="s">
        <v>60</v>
      </c>
      <c r="P177" t="str">
        <f t="shared" si="4"/>
        <v>Electronics</v>
      </c>
      <c r="Q177">
        <f>INDEX(D176:N426,MATCH(O177,D177:$D$251,0),11)</f>
        <v>799.96</v>
      </c>
      <c r="R177" t="str">
        <f t="shared" si="5"/>
        <v>Premium</v>
      </c>
      <c r="S177" t="str" cm="1">
        <f t="array" ref="S177">_xlfn.IFS(L177=$L$2,"he is an "&amp;$L$2&amp;"customer",L177=$L$3,"he is an"&amp;$L$3&amp;"customer",L177=$L$4,"he is an" &amp;$L$4&amp;"customer")</f>
        <v>he is anPremiumcustomer</v>
      </c>
    </row>
    <row r="178" spans="1:19" x14ac:dyDescent="0.25">
      <c r="A178" s="2" t="s">
        <v>321</v>
      </c>
      <c r="B178" s="5">
        <v>45655</v>
      </c>
      <c r="C178" s="2" t="s">
        <v>108</v>
      </c>
      <c r="D178" s="8" t="s">
        <v>109</v>
      </c>
      <c r="E178" s="2" t="s">
        <v>44</v>
      </c>
      <c r="F178" s="2" t="s">
        <v>45</v>
      </c>
      <c r="G178" s="2" t="s">
        <v>46</v>
      </c>
      <c r="H178" s="14">
        <v>5</v>
      </c>
      <c r="I178" s="11">
        <v>149.99</v>
      </c>
      <c r="J178" s="2" t="s">
        <v>20</v>
      </c>
      <c r="K178" s="2" t="s">
        <v>21</v>
      </c>
      <c r="L178" s="2" t="s">
        <v>27</v>
      </c>
      <c r="M178" s="3">
        <v>45347</v>
      </c>
      <c r="N178" s="11">
        <v>749.95</v>
      </c>
      <c r="O178" s="8" t="s">
        <v>109</v>
      </c>
      <c r="P178" t="str">
        <f t="shared" si="4"/>
        <v>Furniture</v>
      </c>
      <c r="Q178">
        <f>INDEX(D177:N427,MATCH(O178,D178:$D$251,0),11)</f>
        <v>89.99</v>
      </c>
      <c r="R178" t="str">
        <f t="shared" si="5"/>
        <v>Premium</v>
      </c>
      <c r="S178" t="str" cm="1">
        <f t="array" ref="S178">_xlfn.IFS(L178=$L$2,"he is an "&amp;$L$2&amp;"customer",L178=$L$3,"he is an"&amp;$L$3&amp;"customer",L178=$L$4,"he is an" &amp;$L$4&amp;"customer")</f>
        <v>he is anPremiumcustomer</v>
      </c>
    </row>
    <row r="179" spans="1:19" x14ac:dyDescent="0.25">
      <c r="A179" s="2" t="s">
        <v>322</v>
      </c>
      <c r="B179" s="5">
        <v>45657</v>
      </c>
      <c r="C179" s="2" t="s">
        <v>86</v>
      </c>
      <c r="D179" s="8" t="s">
        <v>87</v>
      </c>
      <c r="E179" s="2" t="s">
        <v>61</v>
      </c>
      <c r="F179" s="2" t="s">
        <v>62</v>
      </c>
      <c r="G179" s="2" t="s">
        <v>19</v>
      </c>
      <c r="H179" s="14">
        <v>1</v>
      </c>
      <c r="I179" s="11">
        <v>899.99</v>
      </c>
      <c r="J179" s="2" t="s">
        <v>34</v>
      </c>
      <c r="K179" s="2" t="s">
        <v>40</v>
      </c>
      <c r="L179" s="2" t="s">
        <v>27</v>
      </c>
      <c r="M179" s="3">
        <v>45050</v>
      </c>
      <c r="N179" s="11">
        <v>899.99</v>
      </c>
      <c r="O179" s="8" t="s">
        <v>87</v>
      </c>
      <c r="P179" t="str">
        <f t="shared" si="4"/>
        <v>Electronics</v>
      </c>
      <c r="Q179">
        <f>INDEX(D178:N428,MATCH(O179,D179:$D$251,0),11)</f>
        <v>749.95</v>
      </c>
      <c r="R179" t="str">
        <f t="shared" si="5"/>
        <v>Premium</v>
      </c>
      <c r="S179" t="str" cm="1">
        <f t="array" ref="S179">_xlfn.IFS(L179=$L$2,"he is an "&amp;$L$2&amp;"customer",L179=$L$3,"he is an"&amp;$L$3&amp;"customer",L179=$L$4,"he is an" &amp;$L$4&amp;"customer")</f>
        <v>he is anPremiumcustomer</v>
      </c>
    </row>
    <row r="180" spans="1:19" x14ac:dyDescent="0.25">
      <c r="A180" s="2" t="s">
        <v>323</v>
      </c>
      <c r="B180" s="5">
        <v>45660</v>
      </c>
      <c r="C180" s="2" t="s">
        <v>147</v>
      </c>
      <c r="D180" s="8" t="s">
        <v>148</v>
      </c>
      <c r="E180" s="2" t="s">
        <v>117</v>
      </c>
      <c r="F180" s="2" t="s">
        <v>118</v>
      </c>
      <c r="G180" s="2" t="s">
        <v>19</v>
      </c>
      <c r="H180" s="14">
        <v>2</v>
      </c>
      <c r="I180" s="11">
        <v>89.99</v>
      </c>
      <c r="J180" s="2" t="s">
        <v>26</v>
      </c>
      <c r="K180" s="2" t="s">
        <v>35</v>
      </c>
      <c r="L180" s="2" t="s">
        <v>27</v>
      </c>
      <c r="M180" s="3">
        <v>44564</v>
      </c>
      <c r="N180" s="11">
        <v>179.98</v>
      </c>
      <c r="O180" s="8" t="s">
        <v>148</v>
      </c>
      <c r="P180" t="str">
        <f t="shared" si="4"/>
        <v>Electronics</v>
      </c>
      <c r="Q180">
        <f>INDEX(D179:N429,MATCH(O180,D180:$D$251,0),11)</f>
        <v>899.99</v>
      </c>
      <c r="R180" t="str">
        <f t="shared" si="5"/>
        <v>Premium</v>
      </c>
      <c r="S180" t="str" cm="1">
        <f t="array" ref="S180">_xlfn.IFS(L180=$L$2,"he is an "&amp;$L$2&amp;"customer",L180=$L$3,"he is an"&amp;$L$3&amp;"customer",L180=$L$4,"he is an" &amp;$L$4&amp;"customer")</f>
        <v>he is anPremiumcustomer</v>
      </c>
    </row>
    <row r="181" spans="1:19" x14ac:dyDescent="0.25">
      <c r="A181" s="2" t="s">
        <v>324</v>
      </c>
      <c r="B181" s="5">
        <v>45661</v>
      </c>
      <c r="C181" s="2" t="s">
        <v>325</v>
      </c>
      <c r="D181" s="8" t="s">
        <v>326</v>
      </c>
      <c r="E181" s="2" t="s">
        <v>61</v>
      </c>
      <c r="F181" s="2" t="s">
        <v>62</v>
      </c>
      <c r="G181" s="2" t="s">
        <v>19</v>
      </c>
      <c r="H181" s="14">
        <v>1</v>
      </c>
      <c r="I181" s="11">
        <v>899.99</v>
      </c>
      <c r="J181" s="2" t="s">
        <v>34</v>
      </c>
      <c r="K181" s="2" t="s">
        <v>40</v>
      </c>
      <c r="L181" s="2" t="s">
        <v>36</v>
      </c>
      <c r="M181" s="3">
        <v>44752</v>
      </c>
      <c r="N181" s="11">
        <v>899.99</v>
      </c>
      <c r="O181" s="8" t="s">
        <v>326</v>
      </c>
      <c r="P181" t="str">
        <f t="shared" si="4"/>
        <v>Electronics</v>
      </c>
      <c r="Q181">
        <f>INDEX(D180:N430,MATCH(O181,D181:$D$251,0),11)</f>
        <v>179.98</v>
      </c>
      <c r="R181" t="str">
        <f t="shared" si="5"/>
        <v>your customer is not Premium customer</v>
      </c>
      <c r="S181" t="str" cm="1">
        <f t="array" ref="S181">_xlfn.IFS(L181=$L$2,"he is an "&amp;$L$2&amp;"customer",L181=$L$3,"he is an"&amp;$L$3&amp;"customer",L181=$L$4,"he is an" &amp;$L$4&amp;"customer")</f>
        <v>he is anStandardcustomer</v>
      </c>
    </row>
    <row r="182" spans="1:19" x14ac:dyDescent="0.25">
      <c r="A182" s="2" t="s">
        <v>327</v>
      </c>
      <c r="B182" s="5">
        <v>45663</v>
      </c>
      <c r="C182" s="2" t="s">
        <v>129</v>
      </c>
      <c r="D182" s="8" t="s">
        <v>130</v>
      </c>
      <c r="E182" s="2" t="s">
        <v>52</v>
      </c>
      <c r="F182" s="2" t="s">
        <v>53</v>
      </c>
      <c r="G182" s="2" t="s">
        <v>19</v>
      </c>
      <c r="H182" s="14">
        <v>5</v>
      </c>
      <c r="I182" s="11">
        <v>149.99</v>
      </c>
      <c r="J182" s="2" t="s">
        <v>34</v>
      </c>
      <c r="K182" s="2" t="s">
        <v>63</v>
      </c>
      <c r="L182" s="2" t="s">
        <v>27</v>
      </c>
      <c r="M182" s="3">
        <v>44824</v>
      </c>
      <c r="N182" s="11">
        <v>749.95</v>
      </c>
      <c r="O182" s="8" t="s">
        <v>130</v>
      </c>
      <c r="P182" t="str">
        <f t="shared" si="4"/>
        <v>Electronics</v>
      </c>
      <c r="Q182">
        <f>INDEX(D181:N431,MATCH(O182,D182:$D$251,0),11)</f>
        <v>899.99</v>
      </c>
      <c r="R182" t="str">
        <f t="shared" si="5"/>
        <v>Premium</v>
      </c>
      <c r="S182" t="str" cm="1">
        <f t="array" ref="S182">_xlfn.IFS(L182=$L$2,"he is an "&amp;$L$2&amp;"customer",L182=$L$3,"he is an"&amp;$L$3&amp;"customer",L182=$L$4,"he is an" &amp;$L$4&amp;"customer")</f>
        <v>he is anPremiumcustomer</v>
      </c>
    </row>
    <row r="183" spans="1:19" x14ac:dyDescent="0.25">
      <c r="A183" s="2" t="s">
        <v>328</v>
      </c>
      <c r="B183" s="5">
        <v>45663</v>
      </c>
      <c r="C183" s="2" t="s">
        <v>42</v>
      </c>
      <c r="D183" s="8" t="s">
        <v>43</v>
      </c>
      <c r="E183" s="2" t="s">
        <v>105</v>
      </c>
      <c r="F183" s="2" t="s">
        <v>106</v>
      </c>
      <c r="G183" s="2" t="s">
        <v>46</v>
      </c>
      <c r="H183" s="14">
        <v>3</v>
      </c>
      <c r="I183" s="11">
        <v>299.99</v>
      </c>
      <c r="J183" s="2" t="s">
        <v>20</v>
      </c>
      <c r="K183" s="2" t="s">
        <v>35</v>
      </c>
      <c r="L183" s="2" t="s">
        <v>36</v>
      </c>
      <c r="M183" s="3">
        <v>44422</v>
      </c>
      <c r="N183" s="11">
        <v>899.97</v>
      </c>
      <c r="O183" s="8" t="s">
        <v>43</v>
      </c>
      <c r="P183" t="str">
        <f t="shared" si="4"/>
        <v>Furniture</v>
      </c>
      <c r="Q183">
        <f>INDEX(D182:N432,MATCH(O183,D183:$D$251,0),11)</f>
        <v>749.95</v>
      </c>
      <c r="R183" t="str">
        <f t="shared" si="5"/>
        <v>your customer is not Premium customer</v>
      </c>
      <c r="S183" t="str" cm="1">
        <f t="array" ref="S183">_xlfn.IFS(L183=$L$2,"he is an "&amp;$L$2&amp;"customer",L183=$L$3,"he is an"&amp;$L$3&amp;"customer",L183=$L$4,"he is an" &amp;$L$4&amp;"customer")</f>
        <v>he is anStandardcustomer</v>
      </c>
    </row>
    <row r="184" spans="1:19" x14ac:dyDescent="0.25">
      <c r="A184" s="2" t="s">
        <v>329</v>
      </c>
      <c r="B184" s="5">
        <v>45666</v>
      </c>
      <c r="C184" s="2" t="s">
        <v>65</v>
      </c>
      <c r="D184" s="8" t="s">
        <v>66</v>
      </c>
      <c r="E184" s="2" t="s">
        <v>80</v>
      </c>
      <c r="F184" s="2" t="s">
        <v>81</v>
      </c>
      <c r="G184" s="2" t="s">
        <v>19</v>
      </c>
      <c r="H184" s="14">
        <v>3</v>
      </c>
      <c r="I184" s="11">
        <v>699.99</v>
      </c>
      <c r="J184" s="2" t="s">
        <v>26</v>
      </c>
      <c r="K184" s="2" t="s">
        <v>21</v>
      </c>
      <c r="L184" s="2" t="s">
        <v>27</v>
      </c>
      <c r="M184" s="3">
        <v>45105</v>
      </c>
      <c r="N184" s="11">
        <v>2099.9699999999998</v>
      </c>
      <c r="O184" s="8" t="s">
        <v>66</v>
      </c>
      <c r="P184" t="str">
        <f t="shared" si="4"/>
        <v>Electronics</v>
      </c>
      <c r="Q184">
        <f>INDEX(D183:N433,MATCH(O184,D184:$D$251,0),11)</f>
        <v>899.97</v>
      </c>
      <c r="R184" t="str">
        <f t="shared" si="5"/>
        <v>Premium</v>
      </c>
      <c r="S184" t="str" cm="1">
        <f t="array" ref="S184">_xlfn.IFS(L184=$L$2,"he is an "&amp;$L$2&amp;"customer",L184=$L$3,"he is an"&amp;$L$3&amp;"customer",L184=$L$4,"he is an" &amp;$L$4&amp;"customer")</f>
        <v>he is anPremiumcustomer</v>
      </c>
    </row>
    <row r="185" spans="1:19" x14ac:dyDescent="0.25">
      <c r="A185" s="2" t="s">
        <v>330</v>
      </c>
      <c r="B185" s="5">
        <v>45667</v>
      </c>
      <c r="C185" s="2" t="s">
        <v>108</v>
      </c>
      <c r="D185" s="8" t="s">
        <v>109</v>
      </c>
      <c r="E185" s="2" t="s">
        <v>126</v>
      </c>
      <c r="F185" s="2" t="s">
        <v>127</v>
      </c>
      <c r="G185" s="2" t="s">
        <v>46</v>
      </c>
      <c r="H185" s="14">
        <v>5</v>
      </c>
      <c r="I185" s="11">
        <v>199.99</v>
      </c>
      <c r="J185" s="2" t="s">
        <v>34</v>
      </c>
      <c r="K185" s="2" t="s">
        <v>21</v>
      </c>
      <c r="L185" s="2" t="s">
        <v>36</v>
      </c>
      <c r="M185" s="3">
        <v>44633</v>
      </c>
      <c r="N185" s="11">
        <v>999.95</v>
      </c>
      <c r="O185" s="8" t="s">
        <v>109</v>
      </c>
      <c r="P185" t="str">
        <f t="shared" si="4"/>
        <v>Furniture</v>
      </c>
      <c r="Q185">
        <f>INDEX(D184:N434,MATCH(O185,D185:$D$251,0),11)</f>
        <v>2099.9699999999998</v>
      </c>
      <c r="R185" t="str">
        <f t="shared" si="5"/>
        <v>your customer is not Premium customer</v>
      </c>
      <c r="S185" t="str" cm="1">
        <f t="array" ref="S185">_xlfn.IFS(L185=$L$2,"he is an "&amp;$L$2&amp;"customer",L185=$L$3,"he is an"&amp;$L$3&amp;"customer",L185=$L$4,"he is an" &amp;$L$4&amp;"customer")</f>
        <v>he is anStandardcustomer</v>
      </c>
    </row>
    <row r="186" spans="1:19" x14ac:dyDescent="0.25">
      <c r="A186" s="2" t="s">
        <v>331</v>
      </c>
      <c r="B186" s="5">
        <v>45667</v>
      </c>
      <c r="C186" s="2" t="s">
        <v>93</v>
      </c>
      <c r="D186" s="8" t="s">
        <v>94</v>
      </c>
      <c r="E186" s="2" t="s">
        <v>17</v>
      </c>
      <c r="F186" s="2" t="s">
        <v>18</v>
      </c>
      <c r="G186" s="2" t="s">
        <v>19</v>
      </c>
      <c r="H186" s="14">
        <v>5</v>
      </c>
      <c r="I186" s="11">
        <v>249.99</v>
      </c>
      <c r="J186" s="2" t="s">
        <v>26</v>
      </c>
      <c r="K186" s="2" t="s">
        <v>35</v>
      </c>
      <c r="L186" s="2" t="s">
        <v>22</v>
      </c>
      <c r="M186" s="3">
        <v>45330</v>
      </c>
      <c r="N186" s="11">
        <v>1249.95</v>
      </c>
      <c r="O186" s="8" t="s">
        <v>94</v>
      </c>
      <c r="P186" t="str">
        <f t="shared" si="4"/>
        <v>Electronics</v>
      </c>
      <c r="Q186">
        <f>INDEX(D185:N435,MATCH(O186,D186:$D$251,0),11)</f>
        <v>999.95</v>
      </c>
      <c r="R186" t="str">
        <f t="shared" si="5"/>
        <v>your customer is not Premium customer</v>
      </c>
      <c r="S186" t="str" cm="1">
        <f t="array" ref="S186">_xlfn.IFS(L186=$L$2,"he is an "&amp;$L$2&amp;"customer",L186=$L$3,"he is an"&amp;$L$3&amp;"customer",L186=$L$4,"he is an" &amp;$L$4&amp;"customer")</f>
        <v>he is an Basiccustomer</v>
      </c>
    </row>
    <row r="187" spans="1:19" x14ac:dyDescent="0.25">
      <c r="A187" s="2" t="s">
        <v>332</v>
      </c>
      <c r="B187" s="5">
        <v>45668</v>
      </c>
      <c r="C187" s="2" t="s">
        <v>138</v>
      </c>
      <c r="D187" s="8" t="s">
        <v>139</v>
      </c>
      <c r="E187" s="2" t="s">
        <v>52</v>
      </c>
      <c r="F187" s="2" t="s">
        <v>53</v>
      </c>
      <c r="G187" s="2" t="s">
        <v>19</v>
      </c>
      <c r="H187" s="14">
        <v>4</v>
      </c>
      <c r="I187" s="11">
        <v>149.99</v>
      </c>
      <c r="J187" s="2" t="s">
        <v>57</v>
      </c>
      <c r="K187" s="2" t="s">
        <v>63</v>
      </c>
      <c r="L187" s="2" t="s">
        <v>36</v>
      </c>
      <c r="M187" s="3">
        <v>44536</v>
      </c>
      <c r="N187" s="11">
        <v>599.96</v>
      </c>
      <c r="O187" s="8" t="s">
        <v>139</v>
      </c>
      <c r="P187" t="str">
        <f t="shared" si="4"/>
        <v>Electronics</v>
      </c>
      <c r="Q187">
        <f>INDEX(D186:N436,MATCH(O187,D187:$D$251,0),11)</f>
        <v>1249.95</v>
      </c>
      <c r="R187" t="str">
        <f t="shared" si="5"/>
        <v>your customer is not Premium customer</v>
      </c>
      <c r="S187" t="str" cm="1">
        <f t="array" ref="S187">_xlfn.IFS(L187=$L$2,"he is an "&amp;$L$2&amp;"customer",L187=$L$3,"he is an"&amp;$L$3&amp;"customer",L187=$L$4,"he is an" &amp;$L$4&amp;"customer")</f>
        <v>he is anStandardcustomer</v>
      </c>
    </row>
    <row r="188" spans="1:19" x14ac:dyDescent="0.25">
      <c r="A188" s="2" t="s">
        <v>333</v>
      </c>
      <c r="B188" s="5">
        <v>45668</v>
      </c>
      <c r="C188" s="2" t="s">
        <v>78</v>
      </c>
      <c r="D188" s="8" t="s">
        <v>79</v>
      </c>
      <c r="E188" s="2" t="s">
        <v>80</v>
      </c>
      <c r="F188" s="2" t="s">
        <v>81</v>
      </c>
      <c r="G188" s="2" t="s">
        <v>19</v>
      </c>
      <c r="H188" s="14">
        <v>3</v>
      </c>
      <c r="I188" s="11">
        <v>699.99</v>
      </c>
      <c r="J188" s="2" t="s">
        <v>20</v>
      </c>
      <c r="K188" s="2" t="s">
        <v>40</v>
      </c>
      <c r="L188" s="2" t="s">
        <v>27</v>
      </c>
      <c r="M188" s="3">
        <v>44602</v>
      </c>
      <c r="N188" s="11">
        <v>2099.9699999999998</v>
      </c>
      <c r="O188" s="8" t="s">
        <v>79</v>
      </c>
      <c r="P188" t="str">
        <f t="shared" si="4"/>
        <v>Electronics</v>
      </c>
      <c r="Q188">
        <f>INDEX(D187:N437,MATCH(O188,D188:$D$251,0),11)</f>
        <v>599.96</v>
      </c>
      <c r="R188" t="str">
        <f t="shared" si="5"/>
        <v>Premium</v>
      </c>
      <c r="S188" t="str" cm="1">
        <f t="array" ref="S188">_xlfn.IFS(L188=$L$2,"he is an "&amp;$L$2&amp;"customer",L188=$L$3,"he is an"&amp;$L$3&amp;"customer",L188=$L$4,"he is an" &amp;$L$4&amp;"customer")</f>
        <v>he is anPremiumcustomer</v>
      </c>
    </row>
    <row r="189" spans="1:19" x14ac:dyDescent="0.25">
      <c r="A189" s="2" t="s">
        <v>334</v>
      </c>
      <c r="B189" s="5">
        <v>45670</v>
      </c>
      <c r="C189" s="2" t="s">
        <v>293</v>
      </c>
      <c r="D189" s="8" t="s">
        <v>294</v>
      </c>
      <c r="E189" s="2" t="s">
        <v>114</v>
      </c>
      <c r="F189" s="2" t="s">
        <v>115</v>
      </c>
      <c r="G189" s="2" t="s">
        <v>33</v>
      </c>
      <c r="H189" s="14">
        <v>1</v>
      </c>
      <c r="I189" s="11">
        <v>79.989999999999995</v>
      </c>
      <c r="J189" s="2" t="s">
        <v>26</v>
      </c>
      <c r="K189" s="2" t="s">
        <v>35</v>
      </c>
      <c r="L189" s="2" t="s">
        <v>22</v>
      </c>
      <c r="M189" s="3">
        <v>45322</v>
      </c>
      <c r="N189" s="11">
        <v>79.989999999999995</v>
      </c>
      <c r="O189" s="8" t="s">
        <v>294</v>
      </c>
      <c r="P189" t="str">
        <f t="shared" si="4"/>
        <v>Appliances</v>
      </c>
      <c r="Q189">
        <f>INDEX(D188:N438,MATCH(O189,D189:$D$251,0),11)</f>
        <v>2099.9699999999998</v>
      </c>
      <c r="R189" t="str">
        <f t="shared" si="5"/>
        <v>your customer is not Premium customer</v>
      </c>
      <c r="S189" t="str" cm="1">
        <f t="array" ref="S189">_xlfn.IFS(L189=$L$2,"he is an "&amp;$L$2&amp;"customer",L189=$L$3,"he is an"&amp;$L$3&amp;"customer",L189=$L$4,"he is an" &amp;$L$4&amp;"customer")</f>
        <v>he is an Basiccustomer</v>
      </c>
    </row>
    <row r="190" spans="1:19" x14ac:dyDescent="0.25">
      <c r="A190" s="2" t="s">
        <v>335</v>
      </c>
      <c r="B190" s="5">
        <v>45670</v>
      </c>
      <c r="C190" s="2" t="s">
        <v>86</v>
      </c>
      <c r="D190" s="8" t="s">
        <v>87</v>
      </c>
      <c r="E190" s="2" t="s">
        <v>105</v>
      </c>
      <c r="F190" s="2" t="s">
        <v>106</v>
      </c>
      <c r="G190" s="2" t="s">
        <v>46</v>
      </c>
      <c r="H190" s="14">
        <v>1</v>
      </c>
      <c r="I190" s="11">
        <v>299.99</v>
      </c>
      <c r="J190" s="2" t="s">
        <v>26</v>
      </c>
      <c r="K190" s="2" t="s">
        <v>40</v>
      </c>
      <c r="L190" s="2" t="s">
        <v>22</v>
      </c>
      <c r="M190" s="3">
        <v>44436</v>
      </c>
      <c r="N190" s="11">
        <v>299.99</v>
      </c>
      <c r="O190" s="8" t="s">
        <v>87</v>
      </c>
      <c r="P190" t="str">
        <f t="shared" si="4"/>
        <v>Furniture</v>
      </c>
      <c r="Q190">
        <f>INDEX(D189:N439,MATCH(O190,D190:$D$251,0),11)</f>
        <v>79.989999999999995</v>
      </c>
      <c r="R190" t="str">
        <f t="shared" si="5"/>
        <v>your customer is not Premium customer</v>
      </c>
      <c r="S190" t="str" cm="1">
        <f t="array" ref="S190">_xlfn.IFS(L190=$L$2,"he is an "&amp;$L$2&amp;"customer",L190=$L$3,"he is an"&amp;$L$3&amp;"customer",L190=$L$4,"he is an" &amp;$L$4&amp;"customer")</f>
        <v>he is an Basiccustomer</v>
      </c>
    </row>
    <row r="191" spans="1:19" x14ac:dyDescent="0.25">
      <c r="A191" s="2" t="s">
        <v>336</v>
      </c>
      <c r="B191" s="5">
        <v>45671</v>
      </c>
      <c r="C191" s="2" t="s">
        <v>158</v>
      </c>
      <c r="D191" s="8" t="s">
        <v>159</v>
      </c>
      <c r="E191" s="2" t="s">
        <v>17</v>
      </c>
      <c r="F191" s="2" t="s">
        <v>18</v>
      </c>
      <c r="G191" s="2" t="s">
        <v>19</v>
      </c>
      <c r="H191" s="14">
        <v>4</v>
      </c>
      <c r="I191" s="11">
        <v>249.99</v>
      </c>
      <c r="J191" s="2" t="s">
        <v>26</v>
      </c>
      <c r="K191" s="2" t="s">
        <v>40</v>
      </c>
      <c r="L191" s="2" t="s">
        <v>27</v>
      </c>
      <c r="M191" s="3">
        <v>44460</v>
      </c>
      <c r="N191" s="11">
        <v>999.96</v>
      </c>
      <c r="O191" s="8" t="s">
        <v>159</v>
      </c>
      <c r="P191" t="str">
        <f t="shared" si="4"/>
        <v>Electronics</v>
      </c>
      <c r="Q191">
        <f>INDEX(D190:N440,MATCH(O191,D191:$D$251,0),11)</f>
        <v>299.99</v>
      </c>
      <c r="R191" t="str">
        <f t="shared" si="5"/>
        <v>Premium</v>
      </c>
      <c r="S191" t="str" cm="1">
        <f t="array" ref="S191">_xlfn.IFS(L191=$L$2,"he is an "&amp;$L$2&amp;"customer",L191=$L$3,"he is an"&amp;$L$3&amp;"customer",L191=$L$4,"he is an" &amp;$L$4&amp;"customer")</f>
        <v>he is anPremiumcustomer</v>
      </c>
    </row>
    <row r="192" spans="1:19" x14ac:dyDescent="0.25">
      <c r="A192" s="2" t="s">
        <v>337</v>
      </c>
      <c r="B192" s="5">
        <v>45671</v>
      </c>
      <c r="C192" s="2" t="s">
        <v>120</v>
      </c>
      <c r="D192" s="8" t="s">
        <v>121</v>
      </c>
      <c r="E192" s="2" t="s">
        <v>52</v>
      </c>
      <c r="F192" s="2" t="s">
        <v>53</v>
      </c>
      <c r="G192" s="2" t="s">
        <v>19</v>
      </c>
      <c r="H192" s="14">
        <v>2</v>
      </c>
      <c r="I192" s="11">
        <v>149.99</v>
      </c>
      <c r="J192" s="2" t="s">
        <v>20</v>
      </c>
      <c r="K192" s="2" t="s">
        <v>40</v>
      </c>
      <c r="L192" s="2" t="s">
        <v>36</v>
      </c>
      <c r="M192" s="3">
        <v>44913</v>
      </c>
      <c r="N192" s="11">
        <v>299.98</v>
      </c>
      <c r="O192" s="8" t="s">
        <v>121</v>
      </c>
      <c r="P192" t="str">
        <f t="shared" si="4"/>
        <v>Electronics</v>
      </c>
      <c r="Q192">
        <f>INDEX(D191:N441,MATCH(O192,D192:$D$251,0),11)</f>
        <v>999.96</v>
      </c>
      <c r="R192" t="str">
        <f t="shared" si="5"/>
        <v>your customer is not Premium customer</v>
      </c>
      <c r="S192" t="str" cm="1">
        <f t="array" ref="S192">_xlfn.IFS(L192=$L$2,"he is an "&amp;$L$2&amp;"customer",L192=$L$3,"he is an"&amp;$L$3&amp;"customer",L192=$L$4,"he is an" &amp;$L$4&amp;"customer")</f>
        <v>he is anStandardcustomer</v>
      </c>
    </row>
    <row r="193" spans="1:19" x14ac:dyDescent="0.25">
      <c r="A193" s="2" t="s">
        <v>338</v>
      </c>
      <c r="B193" s="5">
        <v>45671</v>
      </c>
      <c r="C193" s="2" t="s">
        <v>234</v>
      </c>
      <c r="D193" s="8" t="s">
        <v>235</v>
      </c>
      <c r="E193" s="2" t="s">
        <v>105</v>
      </c>
      <c r="F193" s="2" t="s">
        <v>106</v>
      </c>
      <c r="G193" s="2" t="s">
        <v>46</v>
      </c>
      <c r="H193" s="14">
        <v>3</v>
      </c>
      <c r="I193" s="11">
        <v>299.99</v>
      </c>
      <c r="J193" s="2" t="s">
        <v>26</v>
      </c>
      <c r="K193" s="2" t="s">
        <v>35</v>
      </c>
      <c r="L193" s="2" t="s">
        <v>22</v>
      </c>
      <c r="M193" s="3">
        <v>45204</v>
      </c>
      <c r="N193" s="11">
        <v>899.97</v>
      </c>
      <c r="O193" s="8" t="s">
        <v>235</v>
      </c>
      <c r="P193" t="str">
        <f t="shared" si="4"/>
        <v>Furniture</v>
      </c>
      <c r="Q193">
        <f>INDEX(D192:N442,MATCH(O193,D193:$D$251,0),11)</f>
        <v>299.98</v>
      </c>
      <c r="R193" t="str">
        <f t="shared" si="5"/>
        <v>your customer is not Premium customer</v>
      </c>
      <c r="S193" t="str" cm="1">
        <f t="array" ref="S193">_xlfn.IFS(L193=$L$2,"he is an "&amp;$L$2&amp;"customer",L193=$L$3,"he is an"&amp;$L$3&amp;"customer",L193=$L$4,"he is an" &amp;$L$4&amp;"customer")</f>
        <v>he is an Basiccustomer</v>
      </c>
    </row>
    <row r="194" spans="1:19" x14ac:dyDescent="0.25">
      <c r="A194" s="2" t="s">
        <v>339</v>
      </c>
      <c r="B194" s="5">
        <v>45673</v>
      </c>
      <c r="C194" s="2" t="s">
        <v>226</v>
      </c>
      <c r="D194" s="8" t="s">
        <v>227</v>
      </c>
      <c r="E194" s="2" t="s">
        <v>126</v>
      </c>
      <c r="F194" s="2" t="s">
        <v>127</v>
      </c>
      <c r="G194" s="2" t="s">
        <v>46</v>
      </c>
      <c r="H194" s="14">
        <v>4</v>
      </c>
      <c r="I194" s="11">
        <v>199.99</v>
      </c>
      <c r="J194" s="2" t="s">
        <v>57</v>
      </c>
      <c r="K194" s="2" t="s">
        <v>35</v>
      </c>
      <c r="L194" s="2" t="s">
        <v>36</v>
      </c>
      <c r="M194" s="3">
        <v>44544</v>
      </c>
      <c r="N194" s="11">
        <v>799.96</v>
      </c>
      <c r="O194" s="8" t="s">
        <v>227</v>
      </c>
      <c r="P194" t="str">
        <f t="shared" si="4"/>
        <v>Furniture</v>
      </c>
      <c r="Q194">
        <f>INDEX(D193:N443,MATCH(O194,D194:$D$251,0),11)</f>
        <v>899.97</v>
      </c>
      <c r="R194" t="str">
        <f t="shared" si="5"/>
        <v>your customer is not Premium customer</v>
      </c>
      <c r="S194" t="str" cm="1">
        <f t="array" ref="S194">_xlfn.IFS(L194=$L$2,"he is an "&amp;$L$2&amp;"customer",L194=$L$3,"he is an"&amp;$L$3&amp;"customer",L194=$L$4,"he is an" &amp;$L$4&amp;"customer")</f>
        <v>he is anStandardcustomer</v>
      </c>
    </row>
    <row r="195" spans="1:19" x14ac:dyDescent="0.25">
      <c r="A195" s="2" t="s">
        <v>340</v>
      </c>
      <c r="B195" s="5">
        <v>45673</v>
      </c>
      <c r="C195" s="2" t="s">
        <v>211</v>
      </c>
      <c r="D195" s="8" t="s">
        <v>212</v>
      </c>
      <c r="E195" s="2" t="s">
        <v>105</v>
      </c>
      <c r="F195" s="2" t="s">
        <v>106</v>
      </c>
      <c r="G195" s="2" t="s">
        <v>46</v>
      </c>
      <c r="H195" s="14">
        <v>5</v>
      </c>
      <c r="I195" s="11">
        <v>299.99</v>
      </c>
      <c r="J195" s="2" t="s">
        <v>57</v>
      </c>
      <c r="K195" s="2" t="s">
        <v>21</v>
      </c>
      <c r="L195" s="2" t="s">
        <v>22</v>
      </c>
      <c r="M195" s="3">
        <v>44431</v>
      </c>
      <c r="N195" s="11">
        <v>1499.95</v>
      </c>
      <c r="O195" s="8" t="s">
        <v>212</v>
      </c>
      <c r="P195" t="str">
        <f t="shared" ref="P195:P251" si="6">VLOOKUP(O195,D194:N444,4,0)</f>
        <v>Furniture</v>
      </c>
      <c r="Q195">
        <f>INDEX(D194:N444,MATCH(O195,D195:$D$251,0),11)</f>
        <v>799.96</v>
      </c>
      <c r="R195" t="str">
        <f t="shared" ref="R195:R251" si="7">IF(L195=$L$3,$L$3,"your customer is not "&amp;$L$3&amp;" customer")</f>
        <v>your customer is not Premium customer</v>
      </c>
      <c r="S195" t="str" cm="1">
        <f t="array" ref="S195">_xlfn.IFS(L195=$L$2,"he is an "&amp;$L$2&amp;"customer",L195=$L$3,"he is an"&amp;$L$3&amp;"customer",L195=$L$4,"he is an" &amp;$L$4&amp;"customer")</f>
        <v>he is an Basiccustomer</v>
      </c>
    </row>
    <row r="196" spans="1:19" x14ac:dyDescent="0.25">
      <c r="A196" s="2" t="s">
        <v>341</v>
      </c>
      <c r="B196" s="5">
        <v>45673</v>
      </c>
      <c r="C196" s="2" t="s">
        <v>59</v>
      </c>
      <c r="D196" s="8" t="s">
        <v>60</v>
      </c>
      <c r="E196" s="2" t="s">
        <v>44</v>
      </c>
      <c r="F196" s="2" t="s">
        <v>45</v>
      </c>
      <c r="G196" s="2" t="s">
        <v>46</v>
      </c>
      <c r="H196" s="14">
        <v>3</v>
      </c>
      <c r="I196" s="11">
        <v>149.99</v>
      </c>
      <c r="J196" s="2" t="s">
        <v>26</v>
      </c>
      <c r="K196" s="2" t="s">
        <v>63</v>
      </c>
      <c r="L196" s="2" t="s">
        <v>36</v>
      </c>
      <c r="M196" s="3">
        <v>44395</v>
      </c>
      <c r="N196" s="11">
        <v>449.97</v>
      </c>
      <c r="O196" s="8" t="s">
        <v>60</v>
      </c>
      <c r="P196" t="str">
        <f t="shared" si="6"/>
        <v>Furniture</v>
      </c>
      <c r="Q196">
        <f>INDEX(D195:N445,MATCH(O196,D196:$D$251,0),11)</f>
        <v>1499.95</v>
      </c>
      <c r="R196" t="str">
        <f t="shared" si="7"/>
        <v>your customer is not Premium customer</v>
      </c>
      <c r="S196" t="str" cm="1">
        <f t="array" ref="S196">_xlfn.IFS(L196=$L$2,"he is an "&amp;$L$2&amp;"customer",L196=$L$3,"he is an"&amp;$L$3&amp;"customer",L196=$L$4,"he is an" &amp;$L$4&amp;"customer")</f>
        <v>he is anStandardcustomer</v>
      </c>
    </row>
    <row r="197" spans="1:19" x14ac:dyDescent="0.25">
      <c r="A197" s="2" t="s">
        <v>342</v>
      </c>
      <c r="B197" s="5">
        <v>45676</v>
      </c>
      <c r="C197" s="2" t="s">
        <v>129</v>
      </c>
      <c r="D197" s="8" t="s">
        <v>130</v>
      </c>
      <c r="E197" s="2" t="s">
        <v>31</v>
      </c>
      <c r="F197" s="2" t="s">
        <v>32</v>
      </c>
      <c r="G197" s="2" t="s">
        <v>33</v>
      </c>
      <c r="H197" s="14">
        <v>5</v>
      </c>
      <c r="I197" s="11">
        <v>59.99</v>
      </c>
      <c r="J197" s="2" t="s">
        <v>57</v>
      </c>
      <c r="K197" s="2" t="s">
        <v>63</v>
      </c>
      <c r="L197" s="2" t="s">
        <v>22</v>
      </c>
      <c r="M197" s="3">
        <v>44642</v>
      </c>
      <c r="N197" s="11">
        <v>299.95</v>
      </c>
      <c r="O197" s="8" t="s">
        <v>130</v>
      </c>
      <c r="P197" t="str">
        <f t="shared" si="6"/>
        <v>Appliances</v>
      </c>
      <c r="Q197">
        <f>INDEX(D196:N446,MATCH(O197,D197:$D$251,0),11)</f>
        <v>449.97</v>
      </c>
      <c r="R197" t="str">
        <f t="shared" si="7"/>
        <v>your customer is not Premium customer</v>
      </c>
      <c r="S197" t="str" cm="1">
        <f t="array" ref="S197">_xlfn.IFS(L197=$L$2,"he is an "&amp;$L$2&amp;"customer",L197=$L$3,"he is an"&amp;$L$3&amp;"customer",L197=$L$4,"he is an" &amp;$L$4&amp;"customer")</f>
        <v>he is an Basiccustomer</v>
      </c>
    </row>
    <row r="198" spans="1:19" x14ac:dyDescent="0.25">
      <c r="A198" s="2" t="s">
        <v>343</v>
      </c>
      <c r="B198" s="5">
        <v>45682</v>
      </c>
      <c r="C198" s="2" t="s">
        <v>68</v>
      </c>
      <c r="D198" s="8" t="s">
        <v>69</v>
      </c>
      <c r="E198" s="2" t="s">
        <v>31</v>
      </c>
      <c r="F198" s="2" t="s">
        <v>32</v>
      </c>
      <c r="G198" s="2" t="s">
        <v>33</v>
      </c>
      <c r="H198" s="14">
        <v>4</v>
      </c>
      <c r="I198" s="11">
        <v>59.99</v>
      </c>
      <c r="J198" s="2" t="s">
        <v>57</v>
      </c>
      <c r="K198" s="2" t="s">
        <v>63</v>
      </c>
      <c r="L198" s="2" t="s">
        <v>36</v>
      </c>
      <c r="M198" s="3">
        <v>44564</v>
      </c>
      <c r="N198" s="11">
        <v>239.96</v>
      </c>
      <c r="O198" s="8" t="s">
        <v>69</v>
      </c>
      <c r="P198" t="str">
        <f t="shared" si="6"/>
        <v>Appliances</v>
      </c>
      <c r="Q198">
        <f>INDEX(D197:N447,MATCH(O198,D198:$D$251,0),11)</f>
        <v>299.95</v>
      </c>
      <c r="R198" t="str">
        <f t="shared" si="7"/>
        <v>your customer is not Premium customer</v>
      </c>
      <c r="S198" t="str" cm="1">
        <f t="array" ref="S198">_xlfn.IFS(L198=$L$2,"he is an "&amp;$L$2&amp;"customer",L198=$L$3,"he is an"&amp;$L$3&amp;"customer",L198=$L$4,"he is an" &amp;$L$4&amp;"customer")</f>
        <v>he is anStandardcustomer</v>
      </c>
    </row>
    <row r="199" spans="1:19" x14ac:dyDescent="0.25">
      <c r="A199" s="2" t="s">
        <v>344</v>
      </c>
      <c r="B199" s="5">
        <v>45683</v>
      </c>
      <c r="C199" s="2" t="s">
        <v>48</v>
      </c>
      <c r="D199" s="8" t="s">
        <v>49</v>
      </c>
      <c r="E199" s="2" t="s">
        <v>17</v>
      </c>
      <c r="F199" s="2" t="s">
        <v>18</v>
      </c>
      <c r="G199" s="2" t="s">
        <v>19</v>
      </c>
      <c r="H199" s="14">
        <v>4</v>
      </c>
      <c r="I199" s="11">
        <v>249.99</v>
      </c>
      <c r="J199" s="2" t="s">
        <v>57</v>
      </c>
      <c r="K199" s="2" t="s">
        <v>21</v>
      </c>
      <c r="L199" s="2" t="s">
        <v>27</v>
      </c>
      <c r="M199" s="3">
        <v>45217</v>
      </c>
      <c r="N199" s="11">
        <v>999.96</v>
      </c>
      <c r="O199" s="8" t="s">
        <v>49</v>
      </c>
      <c r="P199" t="str">
        <f t="shared" si="6"/>
        <v>Electronics</v>
      </c>
      <c r="Q199">
        <f>INDEX(D198:N448,MATCH(O199,D199:$D$251,0),11)</f>
        <v>239.96</v>
      </c>
      <c r="R199" t="str">
        <f t="shared" si="7"/>
        <v>Premium</v>
      </c>
      <c r="S199" t="str" cm="1">
        <f t="array" ref="S199">_xlfn.IFS(L199=$L$2,"he is an "&amp;$L$2&amp;"customer",L199=$L$3,"he is an"&amp;$L$3&amp;"customer",L199=$L$4,"he is an" &amp;$L$4&amp;"customer")</f>
        <v>he is anPremiumcustomer</v>
      </c>
    </row>
    <row r="200" spans="1:19" x14ac:dyDescent="0.25">
      <c r="A200" s="2" t="s">
        <v>345</v>
      </c>
      <c r="B200" s="5">
        <v>45686</v>
      </c>
      <c r="C200" s="2" t="s">
        <v>252</v>
      </c>
      <c r="D200" s="8" t="s">
        <v>253</v>
      </c>
      <c r="E200" s="2" t="s">
        <v>61</v>
      </c>
      <c r="F200" s="2" t="s">
        <v>62</v>
      </c>
      <c r="G200" s="2" t="s">
        <v>19</v>
      </c>
      <c r="H200" s="14">
        <v>4</v>
      </c>
      <c r="I200" s="11">
        <v>899.99</v>
      </c>
      <c r="J200" s="2" t="s">
        <v>34</v>
      </c>
      <c r="K200" s="2" t="s">
        <v>21</v>
      </c>
      <c r="L200" s="2" t="s">
        <v>22</v>
      </c>
      <c r="M200" s="3">
        <v>44734</v>
      </c>
      <c r="N200" s="11">
        <v>3599.96</v>
      </c>
      <c r="O200" s="8" t="s">
        <v>253</v>
      </c>
      <c r="P200" t="str">
        <f t="shared" si="6"/>
        <v>Electronics</v>
      </c>
      <c r="Q200">
        <f>INDEX(D199:N449,MATCH(O200,D200:$D$251,0),11)</f>
        <v>999.96</v>
      </c>
      <c r="R200" t="str">
        <f t="shared" si="7"/>
        <v>your customer is not Premium customer</v>
      </c>
      <c r="S200" t="str" cm="1">
        <f t="array" ref="S200">_xlfn.IFS(L200=$L$2,"he is an "&amp;$L$2&amp;"customer",L200=$L$3,"he is an"&amp;$L$3&amp;"customer",L200=$L$4,"he is an" &amp;$L$4&amp;"customer")</f>
        <v>he is an Basiccustomer</v>
      </c>
    </row>
    <row r="201" spans="1:19" x14ac:dyDescent="0.25">
      <c r="A201" s="2" t="s">
        <v>346</v>
      </c>
      <c r="B201" s="5">
        <v>45686</v>
      </c>
      <c r="C201" s="2" t="s">
        <v>86</v>
      </c>
      <c r="D201" s="8" t="s">
        <v>87</v>
      </c>
      <c r="E201" s="2" t="s">
        <v>105</v>
      </c>
      <c r="F201" s="2" t="s">
        <v>106</v>
      </c>
      <c r="G201" s="2" t="s">
        <v>46</v>
      </c>
      <c r="H201" s="14">
        <v>3</v>
      </c>
      <c r="I201" s="11">
        <v>299.99</v>
      </c>
      <c r="J201" s="2" t="s">
        <v>57</v>
      </c>
      <c r="K201" s="2" t="s">
        <v>50</v>
      </c>
      <c r="L201" s="2" t="s">
        <v>36</v>
      </c>
      <c r="M201" s="3">
        <v>44952</v>
      </c>
      <c r="N201" s="11">
        <v>899.97</v>
      </c>
      <c r="O201" s="8" t="s">
        <v>87</v>
      </c>
      <c r="P201" t="str">
        <f t="shared" si="6"/>
        <v>Furniture</v>
      </c>
      <c r="Q201">
        <f>INDEX(D200:N450,MATCH(O201,D201:$D$251,0),11)</f>
        <v>3599.96</v>
      </c>
      <c r="R201" t="str">
        <f t="shared" si="7"/>
        <v>your customer is not Premium customer</v>
      </c>
      <c r="S201" t="str" cm="1">
        <f t="array" ref="S201">_xlfn.IFS(L201=$L$2,"he is an "&amp;$L$2&amp;"customer",L201=$L$3,"he is an"&amp;$L$3&amp;"customer",L201=$L$4,"he is an" &amp;$L$4&amp;"customer")</f>
        <v>he is anStandardcustomer</v>
      </c>
    </row>
    <row r="202" spans="1:19" x14ac:dyDescent="0.25">
      <c r="A202" s="2" t="s">
        <v>347</v>
      </c>
      <c r="B202" s="5">
        <v>45686</v>
      </c>
      <c r="C202" s="2" t="s">
        <v>293</v>
      </c>
      <c r="D202" s="8" t="s">
        <v>294</v>
      </c>
      <c r="E202" s="2" t="s">
        <v>80</v>
      </c>
      <c r="F202" s="2" t="s">
        <v>81</v>
      </c>
      <c r="G202" s="2" t="s">
        <v>19</v>
      </c>
      <c r="H202" s="14">
        <v>2</v>
      </c>
      <c r="I202" s="11">
        <v>699.99</v>
      </c>
      <c r="J202" s="2" t="s">
        <v>57</v>
      </c>
      <c r="K202" s="2" t="s">
        <v>21</v>
      </c>
      <c r="L202" s="2" t="s">
        <v>27</v>
      </c>
      <c r="M202" s="3">
        <v>44681</v>
      </c>
      <c r="N202" s="11">
        <v>1399.98</v>
      </c>
      <c r="O202" s="8" t="s">
        <v>294</v>
      </c>
      <c r="P202" t="str">
        <f t="shared" si="6"/>
        <v>Electronics</v>
      </c>
      <c r="Q202">
        <f>INDEX(D201:N451,MATCH(O202,D202:$D$251,0),11)</f>
        <v>899.97</v>
      </c>
      <c r="R202" t="str">
        <f t="shared" si="7"/>
        <v>Premium</v>
      </c>
      <c r="S202" t="str" cm="1">
        <f t="array" ref="S202">_xlfn.IFS(L202=$L$2,"he is an "&amp;$L$2&amp;"customer",L202=$L$3,"he is an"&amp;$L$3&amp;"customer",L202=$L$4,"he is an" &amp;$L$4&amp;"customer")</f>
        <v>he is anPremiumcustomer</v>
      </c>
    </row>
    <row r="203" spans="1:19" x14ac:dyDescent="0.25">
      <c r="A203" s="2" t="s">
        <v>348</v>
      </c>
      <c r="B203" s="5">
        <v>45688</v>
      </c>
      <c r="C203" s="2" t="s">
        <v>65</v>
      </c>
      <c r="D203" s="8" t="s">
        <v>66</v>
      </c>
      <c r="E203" s="2" t="s">
        <v>80</v>
      </c>
      <c r="F203" s="2" t="s">
        <v>81</v>
      </c>
      <c r="G203" s="2" t="s">
        <v>19</v>
      </c>
      <c r="H203" s="14">
        <v>4</v>
      </c>
      <c r="I203" s="11">
        <v>699.99</v>
      </c>
      <c r="J203" s="2" t="s">
        <v>57</v>
      </c>
      <c r="K203" s="2" t="s">
        <v>50</v>
      </c>
      <c r="L203" s="2" t="s">
        <v>27</v>
      </c>
      <c r="M203" s="3">
        <v>44692</v>
      </c>
      <c r="N203" s="11">
        <v>2799.96</v>
      </c>
      <c r="O203" s="8" t="s">
        <v>66</v>
      </c>
      <c r="P203" t="str">
        <f t="shared" si="6"/>
        <v>Electronics</v>
      </c>
      <c r="Q203">
        <f>INDEX(D202:N452,MATCH(O203,D203:$D$251,0),11)</f>
        <v>1399.98</v>
      </c>
      <c r="R203" t="str">
        <f t="shared" si="7"/>
        <v>Premium</v>
      </c>
      <c r="S203" t="str" cm="1">
        <f t="array" ref="S203">_xlfn.IFS(L203=$L$2,"he is an "&amp;$L$2&amp;"customer",L203=$L$3,"he is an"&amp;$L$3&amp;"customer",L203=$L$4,"he is an" &amp;$L$4&amp;"customer")</f>
        <v>he is anPremiumcustomer</v>
      </c>
    </row>
    <row r="204" spans="1:19" x14ac:dyDescent="0.25">
      <c r="A204" s="2" t="s">
        <v>349</v>
      </c>
      <c r="B204" s="5">
        <v>45688</v>
      </c>
      <c r="C204" s="2" t="s">
        <v>123</v>
      </c>
      <c r="D204" s="8" t="s">
        <v>124</v>
      </c>
      <c r="E204" s="2" t="s">
        <v>117</v>
      </c>
      <c r="F204" s="2" t="s">
        <v>118</v>
      </c>
      <c r="G204" s="2" t="s">
        <v>19</v>
      </c>
      <c r="H204" s="14">
        <v>2</v>
      </c>
      <c r="I204" s="11">
        <v>89.99</v>
      </c>
      <c r="J204" s="2" t="s">
        <v>57</v>
      </c>
      <c r="K204" s="2" t="s">
        <v>35</v>
      </c>
      <c r="L204" s="2" t="s">
        <v>22</v>
      </c>
      <c r="M204" s="3">
        <v>44777</v>
      </c>
      <c r="N204" s="11">
        <v>179.98</v>
      </c>
      <c r="O204" s="8" t="s">
        <v>124</v>
      </c>
      <c r="P204" t="str">
        <f t="shared" si="6"/>
        <v>Electronics</v>
      </c>
      <c r="Q204">
        <f>INDEX(D203:N453,MATCH(O204,D204:$D$251,0),11)</f>
        <v>2799.96</v>
      </c>
      <c r="R204" t="str">
        <f t="shared" si="7"/>
        <v>your customer is not Premium customer</v>
      </c>
      <c r="S204" t="str" cm="1">
        <f t="array" ref="S204">_xlfn.IFS(L204=$L$2,"he is an "&amp;$L$2&amp;"customer",L204=$L$3,"he is an"&amp;$L$3&amp;"customer",L204=$L$4,"he is an" &amp;$L$4&amp;"customer")</f>
        <v>he is an Basiccustomer</v>
      </c>
    </row>
    <row r="205" spans="1:19" x14ac:dyDescent="0.25">
      <c r="A205" s="2" t="s">
        <v>350</v>
      </c>
      <c r="B205" s="5">
        <v>45688</v>
      </c>
      <c r="C205" s="2" t="s">
        <v>42</v>
      </c>
      <c r="D205" s="8" t="s">
        <v>43</v>
      </c>
      <c r="E205" s="2" t="s">
        <v>117</v>
      </c>
      <c r="F205" s="2" t="s">
        <v>118</v>
      </c>
      <c r="G205" s="2" t="s">
        <v>19</v>
      </c>
      <c r="H205" s="14">
        <v>3</v>
      </c>
      <c r="I205" s="11">
        <v>89.99</v>
      </c>
      <c r="J205" s="2" t="s">
        <v>57</v>
      </c>
      <c r="K205" s="2" t="s">
        <v>35</v>
      </c>
      <c r="L205" s="2" t="s">
        <v>27</v>
      </c>
      <c r="M205" s="3">
        <v>45307</v>
      </c>
      <c r="N205" s="11">
        <v>269.97000000000003</v>
      </c>
      <c r="O205" s="8" t="s">
        <v>43</v>
      </c>
      <c r="P205" t="str">
        <f t="shared" si="6"/>
        <v>Electronics</v>
      </c>
      <c r="Q205">
        <f>INDEX(D204:N454,MATCH(O205,D205:$D$251,0),11)</f>
        <v>179.98</v>
      </c>
      <c r="R205" t="str">
        <f t="shared" si="7"/>
        <v>Premium</v>
      </c>
      <c r="S205" t="str" cm="1">
        <f t="array" ref="S205">_xlfn.IFS(L205=$L$2,"he is an "&amp;$L$2&amp;"customer",L205=$L$3,"he is an"&amp;$L$3&amp;"customer",L205=$L$4,"he is an" &amp;$L$4&amp;"customer")</f>
        <v>he is anPremiumcustomer</v>
      </c>
    </row>
    <row r="206" spans="1:19" x14ac:dyDescent="0.25">
      <c r="A206" s="2" t="s">
        <v>351</v>
      </c>
      <c r="B206" s="5">
        <v>45692</v>
      </c>
      <c r="C206" s="2" t="s">
        <v>325</v>
      </c>
      <c r="D206" s="8" t="s">
        <v>326</v>
      </c>
      <c r="E206" s="2" t="s">
        <v>31</v>
      </c>
      <c r="F206" s="2" t="s">
        <v>32</v>
      </c>
      <c r="G206" s="2" t="s">
        <v>33</v>
      </c>
      <c r="H206" s="14">
        <v>1</v>
      </c>
      <c r="I206" s="11">
        <v>59.99</v>
      </c>
      <c r="J206" s="2" t="s">
        <v>57</v>
      </c>
      <c r="K206" s="2" t="s">
        <v>21</v>
      </c>
      <c r="L206" s="2" t="s">
        <v>36</v>
      </c>
      <c r="M206" s="3">
        <v>45045</v>
      </c>
      <c r="N206" s="11">
        <v>59.99</v>
      </c>
      <c r="O206" s="8" t="s">
        <v>326</v>
      </c>
      <c r="P206" t="str">
        <f t="shared" si="6"/>
        <v>Appliances</v>
      </c>
      <c r="Q206">
        <f>INDEX(D205:N455,MATCH(O206,D206:$D$251,0),11)</f>
        <v>269.97000000000003</v>
      </c>
      <c r="R206" t="str">
        <f t="shared" si="7"/>
        <v>your customer is not Premium customer</v>
      </c>
      <c r="S206" t="str" cm="1">
        <f t="array" ref="S206">_xlfn.IFS(L206=$L$2,"he is an "&amp;$L$2&amp;"customer",L206=$L$3,"he is an"&amp;$L$3&amp;"customer",L206=$L$4,"he is an" &amp;$L$4&amp;"customer")</f>
        <v>he is anStandardcustomer</v>
      </c>
    </row>
    <row r="207" spans="1:19" x14ac:dyDescent="0.25">
      <c r="A207" s="2" t="s">
        <v>352</v>
      </c>
      <c r="B207" s="5">
        <v>45695</v>
      </c>
      <c r="C207" s="2" t="s">
        <v>246</v>
      </c>
      <c r="D207" s="8" t="s">
        <v>247</v>
      </c>
      <c r="E207" s="2" t="s">
        <v>44</v>
      </c>
      <c r="F207" s="2" t="s">
        <v>45</v>
      </c>
      <c r="G207" s="2" t="s">
        <v>46</v>
      </c>
      <c r="H207" s="14">
        <v>3</v>
      </c>
      <c r="I207" s="11">
        <v>149.99</v>
      </c>
      <c r="J207" s="2" t="s">
        <v>57</v>
      </c>
      <c r="K207" s="2" t="s">
        <v>40</v>
      </c>
      <c r="L207" s="2" t="s">
        <v>27</v>
      </c>
      <c r="M207" s="3">
        <v>44564</v>
      </c>
      <c r="N207" s="11">
        <v>449.97</v>
      </c>
      <c r="O207" s="8" t="s">
        <v>247</v>
      </c>
      <c r="P207" t="str">
        <f t="shared" si="6"/>
        <v>Furniture</v>
      </c>
      <c r="Q207">
        <f>INDEX(D206:N456,MATCH(O207,D207:$D$251,0),11)</f>
        <v>59.99</v>
      </c>
      <c r="R207" t="str">
        <f t="shared" si="7"/>
        <v>Premium</v>
      </c>
      <c r="S207" t="str" cm="1">
        <f t="array" ref="S207">_xlfn.IFS(L207=$L$2,"he is an "&amp;$L$2&amp;"customer",L207=$L$3,"he is an"&amp;$L$3&amp;"customer",L207=$L$4,"he is an" &amp;$L$4&amp;"customer")</f>
        <v>he is anPremiumcustomer</v>
      </c>
    </row>
    <row r="208" spans="1:19" x14ac:dyDescent="0.25">
      <c r="A208" s="2" t="s">
        <v>353</v>
      </c>
      <c r="B208" s="5">
        <v>45695</v>
      </c>
      <c r="C208" s="2" t="s">
        <v>93</v>
      </c>
      <c r="D208" s="8" t="s">
        <v>94</v>
      </c>
      <c r="E208" s="2" t="s">
        <v>105</v>
      </c>
      <c r="F208" s="2" t="s">
        <v>106</v>
      </c>
      <c r="G208" s="2" t="s">
        <v>46</v>
      </c>
      <c r="H208" s="14">
        <v>5</v>
      </c>
      <c r="I208" s="11">
        <v>299.99</v>
      </c>
      <c r="J208" s="2" t="s">
        <v>26</v>
      </c>
      <c r="K208" s="2" t="s">
        <v>35</v>
      </c>
      <c r="L208" s="2" t="s">
        <v>22</v>
      </c>
      <c r="M208" s="3">
        <v>44959</v>
      </c>
      <c r="N208" s="11">
        <v>1499.95</v>
      </c>
      <c r="O208" s="8" t="s">
        <v>94</v>
      </c>
      <c r="P208" t="str">
        <f t="shared" si="6"/>
        <v>Furniture</v>
      </c>
      <c r="Q208">
        <f>INDEX(D207:N457,MATCH(O208,D208:$D$251,0),11)</f>
        <v>449.97</v>
      </c>
      <c r="R208" t="str">
        <f t="shared" si="7"/>
        <v>your customer is not Premium customer</v>
      </c>
      <c r="S208" t="str" cm="1">
        <f t="array" ref="S208">_xlfn.IFS(L208=$L$2,"he is an "&amp;$L$2&amp;"customer",L208=$L$3,"he is an"&amp;$L$3&amp;"customer",L208=$L$4,"he is an" &amp;$L$4&amp;"customer")</f>
        <v>he is an Basiccustomer</v>
      </c>
    </row>
    <row r="209" spans="1:19" x14ac:dyDescent="0.25">
      <c r="A209" s="2" t="s">
        <v>354</v>
      </c>
      <c r="B209" s="5">
        <v>45696</v>
      </c>
      <c r="C209" s="2" t="s">
        <v>150</v>
      </c>
      <c r="D209" s="8" t="s">
        <v>151</v>
      </c>
      <c r="E209" s="2" t="s">
        <v>31</v>
      </c>
      <c r="F209" s="2" t="s">
        <v>32</v>
      </c>
      <c r="G209" s="2" t="s">
        <v>33</v>
      </c>
      <c r="H209" s="14">
        <v>5</v>
      </c>
      <c r="I209" s="11">
        <v>59.99</v>
      </c>
      <c r="J209" s="2" t="s">
        <v>57</v>
      </c>
      <c r="K209" s="2" t="s">
        <v>21</v>
      </c>
      <c r="L209" s="2" t="s">
        <v>36</v>
      </c>
      <c r="M209" s="3">
        <v>45177</v>
      </c>
      <c r="N209" s="11">
        <v>299.95</v>
      </c>
      <c r="O209" s="8" t="s">
        <v>151</v>
      </c>
      <c r="P209" t="str">
        <f t="shared" si="6"/>
        <v>Appliances</v>
      </c>
      <c r="Q209">
        <f>INDEX(D208:N458,MATCH(O209,D209:$D$251,0),11)</f>
        <v>1499.95</v>
      </c>
      <c r="R209" t="str">
        <f t="shared" si="7"/>
        <v>your customer is not Premium customer</v>
      </c>
      <c r="S209" t="str" cm="1">
        <f t="array" ref="S209">_xlfn.IFS(L209=$L$2,"he is an "&amp;$L$2&amp;"customer",L209=$L$3,"he is an"&amp;$L$3&amp;"customer",L209=$L$4,"he is an" &amp;$L$4&amp;"customer")</f>
        <v>he is anStandardcustomer</v>
      </c>
    </row>
    <row r="210" spans="1:19" x14ac:dyDescent="0.25">
      <c r="A210" s="2" t="s">
        <v>355</v>
      </c>
      <c r="B210" s="5">
        <v>45701</v>
      </c>
      <c r="C210" s="2" t="s">
        <v>108</v>
      </c>
      <c r="D210" s="8" t="s">
        <v>109</v>
      </c>
      <c r="E210" s="2" t="s">
        <v>114</v>
      </c>
      <c r="F210" s="2" t="s">
        <v>115</v>
      </c>
      <c r="G210" s="2" t="s">
        <v>33</v>
      </c>
      <c r="H210" s="14">
        <v>3</v>
      </c>
      <c r="I210" s="11">
        <v>79.989999999999995</v>
      </c>
      <c r="J210" s="2" t="s">
        <v>20</v>
      </c>
      <c r="K210" s="2" t="s">
        <v>63</v>
      </c>
      <c r="L210" s="2" t="s">
        <v>27</v>
      </c>
      <c r="M210" s="3">
        <v>44436</v>
      </c>
      <c r="N210" s="11">
        <v>239.97</v>
      </c>
      <c r="O210" s="8" t="s">
        <v>109</v>
      </c>
      <c r="P210" t="str">
        <f t="shared" si="6"/>
        <v>Appliances</v>
      </c>
      <c r="Q210">
        <f>INDEX(D209:N459,MATCH(O210,D210:$D$251,0),11)</f>
        <v>299.95</v>
      </c>
      <c r="R210" t="str">
        <f t="shared" si="7"/>
        <v>Premium</v>
      </c>
      <c r="S210" t="str" cm="1">
        <f t="array" ref="S210">_xlfn.IFS(L210=$L$2,"he is an "&amp;$L$2&amp;"customer",L210=$L$3,"he is an"&amp;$L$3&amp;"customer",L210=$L$4,"he is an" &amp;$L$4&amp;"customer")</f>
        <v>he is anPremiumcustomer</v>
      </c>
    </row>
    <row r="211" spans="1:19" x14ac:dyDescent="0.25">
      <c r="A211" s="2" t="s">
        <v>356</v>
      </c>
      <c r="B211" s="5">
        <v>45704</v>
      </c>
      <c r="C211" s="2" t="s">
        <v>29</v>
      </c>
      <c r="D211" s="8" t="s">
        <v>30</v>
      </c>
      <c r="E211" s="2" t="s">
        <v>126</v>
      </c>
      <c r="F211" s="2" t="s">
        <v>127</v>
      </c>
      <c r="G211" s="2" t="s">
        <v>46</v>
      </c>
      <c r="H211" s="14">
        <v>3</v>
      </c>
      <c r="I211" s="11">
        <v>199.99</v>
      </c>
      <c r="J211" s="2" t="s">
        <v>20</v>
      </c>
      <c r="K211" s="2" t="s">
        <v>21</v>
      </c>
      <c r="L211" s="2" t="s">
        <v>22</v>
      </c>
      <c r="M211" s="3">
        <v>44735</v>
      </c>
      <c r="N211" s="11">
        <v>599.97</v>
      </c>
      <c r="O211" s="8" t="s">
        <v>30</v>
      </c>
      <c r="P211" t="str">
        <f t="shared" si="6"/>
        <v>Furniture</v>
      </c>
      <c r="Q211">
        <f>INDEX(D210:N460,MATCH(O211,D211:$D$251,0),11)</f>
        <v>239.97</v>
      </c>
      <c r="R211" t="str">
        <f t="shared" si="7"/>
        <v>your customer is not Premium customer</v>
      </c>
      <c r="S211" t="str" cm="1">
        <f t="array" ref="S211">_xlfn.IFS(L211=$L$2,"he is an "&amp;$L$2&amp;"customer",L211=$L$3,"he is an"&amp;$L$3&amp;"customer",L211=$L$4,"he is an" &amp;$L$4&amp;"customer")</f>
        <v>he is an Basiccustomer</v>
      </c>
    </row>
    <row r="212" spans="1:19" x14ac:dyDescent="0.25">
      <c r="A212" s="2" t="s">
        <v>357</v>
      </c>
      <c r="B212" s="5">
        <v>45704</v>
      </c>
      <c r="C212" s="2" t="s">
        <v>15</v>
      </c>
      <c r="D212" s="8" t="s">
        <v>16</v>
      </c>
      <c r="E212" s="2" t="s">
        <v>117</v>
      </c>
      <c r="F212" s="2" t="s">
        <v>118</v>
      </c>
      <c r="G212" s="2" t="s">
        <v>19</v>
      </c>
      <c r="H212" s="14">
        <v>2</v>
      </c>
      <c r="I212" s="11">
        <v>89.99</v>
      </c>
      <c r="J212" s="2" t="s">
        <v>34</v>
      </c>
      <c r="K212" s="2" t="s">
        <v>21</v>
      </c>
      <c r="L212" s="2" t="s">
        <v>22</v>
      </c>
      <c r="M212" s="3">
        <v>45257</v>
      </c>
      <c r="N212" s="11">
        <v>179.98</v>
      </c>
      <c r="O212" s="8" t="s">
        <v>16</v>
      </c>
      <c r="P212" t="str">
        <f t="shared" si="6"/>
        <v>Electronics</v>
      </c>
      <c r="Q212">
        <f>INDEX(D211:N461,MATCH(O212,D212:$D$251,0),11)</f>
        <v>599.97</v>
      </c>
      <c r="R212" t="str">
        <f t="shared" si="7"/>
        <v>your customer is not Premium customer</v>
      </c>
      <c r="S212" t="str" cm="1">
        <f t="array" ref="S212">_xlfn.IFS(L212=$L$2,"he is an "&amp;$L$2&amp;"customer",L212=$L$3,"he is an"&amp;$L$3&amp;"customer",L212=$L$4,"he is an" &amp;$L$4&amp;"customer")</f>
        <v>he is an Basiccustomer</v>
      </c>
    </row>
    <row r="213" spans="1:19" x14ac:dyDescent="0.25">
      <c r="A213" s="2" t="s">
        <v>358</v>
      </c>
      <c r="B213" s="5">
        <v>45705</v>
      </c>
      <c r="C213" s="2" t="s">
        <v>259</v>
      </c>
      <c r="D213" s="8" t="s">
        <v>260</v>
      </c>
      <c r="E213" s="2" t="s">
        <v>44</v>
      </c>
      <c r="F213" s="2" t="s">
        <v>45</v>
      </c>
      <c r="G213" s="2" t="s">
        <v>46</v>
      </c>
      <c r="H213" s="14">
        <v>2</v>
      </c>
      <c r="I213" s="11">
        <v>149.99</v>
      </c>
      <c r="J213" s="2" t="s">
        <v>20</v>
      </c>
      <c r="K213" s="2" t="s">
        <v>35</v>
      </c>
      <c r="L213" s="2" t="s">
        <v>27</v>
      </c>
      <c r="M213" s="3">
        <v>44728</v>
      </c>
      <c r="N213" s="11">
        <v>299.98</v>
      </c>
      <c r="O213" s="8" t="s">
        <v>260</v>
      </c>
      <c r="P213" t="str">
        <f t="shared" si="6"/>
        <v>Furniture</v>
      </c>
      <c r="Q213">
        <f>INDEX(D212:N462,MATCH(O213,D213:$D$251,0),11)</f>
        <v>179.98</v>
      </c>
      <c r="R213" t="str">
        <f t="shared" si="7"/>
        <v>Premium</v>
      </c>
      <c r="S213" t="str" cm="1">
        <f t="array" ref="S213">_xlfn.IFS(L213=$L$2,"he is an "&amp;$L$2&amp;"customer",L213=$L$3,"he is an"&amp;$L$3&amp;"customer",L213=$L$4,"he is an" &amp;$L$4&amp;"customer")</f>
        <v>he is anPremiumcustomer</v>
      </c>
    </row>
    <row r="214" spans="1:19" x14ac:dyDescent="0.25">
      <c r="A214" s="2" t="s">
        <v>359</v>
      </c>
      <c r="B214" s="5">
        <v>45707</v>
      </c>
      <c r="C214" s="2" t="s">
        <v>123</v>
      </c>
      <c r="D214" s="8" t="s">
        <v>124</v>
      </c>
      <c r="E214" s="2" t="s">
        <v>80</v>
      </c>
      <c r="F214" s="2" t="s">
        <v>81</v>
      </c>
      <c r="G214" s="2" t="s">
        <v>19</v>
      </c>
      <c r="H214" s="14">
        <v>5</v>
      </c>
      <c r="I214" s="11">
        <v>699.99</v>
      </c>
      <c r="J214" s="2" t="s">
        <v>34</v>
      </c>
      <c r="K214" s="2" t="s">
        <v>35</v>
      </c>
      <c r="L214" s="2" t="s">
        <v>27</v>
      </c>
      <c r="M214" s="3">
        <v>45352</v>
      </c>
      <c r="N214" s="11">
        <v>3499.95</v>
      </c>
      <c r="O214" s="8" t="s">
        <v>124</v>
      </c>
      <c r="P214" t="str">
        <f t="shared" si="6"/>
        <v>Electronics</v>
      </c>
      <c r="Q214">
        <f>INDEX(D213:N463,MATCH(O214,D214:$D$251,0),11)</f>
        <v>299.98</v>
      </c>
      <c r="R214" t="str">
        <f t="shared" si="7"/>
        <v>Premium</v>
      </c>
      <c r="S214" t="str" cm="1">
        <f t="array" ref="S214">_xlfn.IFS(L214=$L$2,"he is an "&amp;$L$2&amp;"customer",L214=$L$3,"he is an"&amp;$L$3&amp;"customer",L214=$L$4,"he is an" &amp;$L$4&amp;"customer")</f>
        <v>he is anPremiumcustomer</v>
      </c>
    </row>
    <row r="215" spans="1:19" x14ac:dyDescent="0.25">
      <c r="A215" s="2" t="s">
        <v>360</v>
      </c>
      <c r="B215" s="5">
        <v>45707</v>
      </c>
      <c r="C215" s="2" t="s">
        <v>42</v>
      </c>
      <c r="D215" s="8" t="s">
        <v>43</v>
      </c>
      <c r="E215" s="2" t="s">
        <v>44</v>
      </c>
      <c r="F215" s="2" t="s">
        <v>45</v>
      </c>
      <c r="G215" s="2" t="s">
        <v>46</v>
      </c>
      <c r="H215" s="14">
        <v>3</v>
      </c>
      <c r="I215" s="11">
        <v>149.99</v>
      </c>
      <c r="J215" s="2" t="s">
        <v>34</v>
      </c>
      <c r="K215" s="2" t="s">
        <v>21</v>
      </c>
      <c r="L215" s="2" t="s">
        <v>36</v>
      </c>
      <c r="M215" s="3">
        <v>44633</v>
      </c>
      <c r="N215" s="11">
        <v>449.97</v>
      </c>
      <c r="O215" s="8" t="s">
        <v>43</v>
      </c>
      <c r="P215" t="str">
        <f t="shared" si="6"/>
        <v>Furniture</v>
      </c>
      <c r="Q215">
        <f>INDEX(D214:N464,MATCH(O215,D215:$D$251,0),11)</f>
        <v>3499.95</v>
      </c>
      <c r="R215" t="str">
        <f t="shared" si="7"/>
        <v>your customer is not Premium customer</v>
      </c>
      <c r="S215" t="str" cm="1">
        <f t="array" ref="S215">_xlfn.IFS(L215=$L$2,"he is an "&amp;$L$2&amp;"customer",L215=$L$3,"he is an"&amp;$L$3&amp;"customer",L215=$L$4,"he is an" &amp;$L$4&amp;"customer")</f>
        <v>he is anStandardcustomer</v>
      </c>
    </row>
    <row r="216" spans="1:19" x14ac:dyDescent="0.25">
      <c r="A216" s="2" t="s">
        <v>361</v>
      </c>
      <c r="B216" s="5">
        <v>45708</v>
      </c>
      <c r="C216" s="2" t="s">
        <v>96</v>
      </c>
      <c r="D216" s="8" t="s">
        <v>97</v>
      </c>
      <c r="E216" s="2" t="s">
        <v>61</v>
      </c>
      <c r="F216" s="2" t="s">
        <v>62</v>
      </c>
      <c r="G216" s="2" t="s">
        <v>19</v>
      </c>
      <c r="H216" s="14">
        <v>3</v>
      </c>
      <c r="I216" s="11">
        <v>899.99</v>
      </c>
      <c r="J216" s="2" t="s">
        <v>20</v>
      </c>
      <c r="K216" s="2" t="s">
        <v>63</v>
      </c>
      <c r="L216" s="2" t="s">
        <v>36</v>
      </c>
      <c r="M216" s="3">
        <v>44613</v>
      </c>
      <c r="N216" s="11">
        <v>2699.97</v>
      </c>
      <c r="O216" s="8" t="s">
        <v>97</v>
      </c>
      <c r="P216" t="str">
        <f t="shared" si="6"/>
        <v>Electronics</v>
      </c>
      <c r="Q216">
        <f>INDEX(D215:N465,MATCH(O216,D216:$D$251,0),11)</f>
        <v>449.97</v>
      </c>
      <c r="R216" t="str">
        <f t="shared" si="7"/>
        <v>your customer is not Premium customer</v>
      </c>
      <c r="S216" t="str" cm="1">
        <f t="array" ref="S216">_xlfn.IFS(L216=$L$2,"he is an "&amp;$L$2&amp;"customer",L216=$L$3,"he is an"&amp;$L$3&amp;"customer",L216=$L$4,"he is an" &amp;$L$4&amp;"customer")</f>
        <v>he is anStandardcustomer</v>
      </c>
    </row>
    <row r="217" spans="1:19" x14ac:dyDescent="0.25">
      <c r="A217" s="2" t="s">
        <v>362</v>
      </c>
      <c r="B217" s="5">
        <v>45708</v>
      </c>
      <c r="C217" s="2" t="s">
        <v>192</v>
      </c>
      <c r="D217" s="8" t="s">
        <v>193</v>
      </c>
      <c r="E217" s="2" t="s">
        <v>126</v>
      </c>
      <c r="F217" s="2" t="s">
        <v>127</v>
      </c>
      <c r="G217" s="2" t="s">
        <v>46</v>
      </c>
      <c r="H217" s="14">
        <v>3</v>
      </c>
      <c r="I217" s="11">
        <v>199.99</v>
      </c>
      <c r="J217" s="2" t="s">
        <v>20</v>
      </c>
      <c r="K217" s="2" t="s">
        <v>50</v>
      </c>
      <c r="L217" s="2" t="s">
        <v>27</v>
      </c>
      <c r="M217" s="3">
        <v>44823</v>
      </c>
      <c r="N217" s="11">
        <v>599.97</v>
      </c>
      <c r="O217" s="8" t="s">
        <v>193</v>
      </c>
      <c r="P217" t="str">
        <f t="shared" si="6"/>
        <v>Furniture</v>
      </c>
      <c r="Q217">
        <f>INDEX(D216:N466,MATCH(O217,D217:$D$251,0),11)</f>
        <v>2699.97</v>
      </c>
      <c r="R217" t="str">
        <f t="shared" si="7"/>
        <v>Premium</v>
      </c>
      <c r="S217" t="str" cm="1">
        <f t="array" ref="S217">_xlfn.IFS(L217=$L$2,"he is an "&amp;$L$2&amp;"customer",L217=$L$3,"he is an"&amp;$L$3&amp;"customer",L217=$L$4,"he is an" &amp;$L$4&amp;"customer")</f>
        <v>he is anPremiumcustomer</v>
      </c>
    </row>
    <row r="218" spans="1:19" x14ac:dyDescent="0.25">
      <c r="A218" s="2" t="s">
        <v>363</v>
      </c>
      <c r="B218" s="5">
        <v>45710</v>
      </c>
      <c r="C218" s="2" t="s">
        <v>55</v>
      </c>
      <c r="D218" s="8" t="s">
        <v>56</v>
      </c>
      <c r="E218" s="2" t="s">
        <v>105</v>
      </c>
      <c r="F218" s="2" t="s">
        <v>106</v>
      </c>
      <c r="G218" s="2" t="s">
        <v>46</v>
      </c>
      <c r="H218" s="14">
        <v>5</v>
      </c>
      <c r="I218" s="11">
        <v>299.99</v>
      </c>
      <c r="J218" s="2" t="s">
        <v>20</v>
      </c>
      <c r="K218" s="2" t="s">
        <v>50</v>
      </c>
      <c r="L218" s="2" t="s">
        <v>36</v>
      </c>
      <c r="M218" s="3">
        <v>45142</v>
      </c>
      <c r="N218" s="11">
        <v>1499.95</v>
      </c>
      <c r="O218" s="8" t="s">
        <v>56</v>
      </c>
      <c r="P218" t="str">
        <f t="shared" si="6"/>
        <v>Furniture</v>
      </c>
      <c r="Q218">
        <f>INDEX(D217:N467,MATCH(O218,D218:$D$251,0),11)</f>
        <v>599.97</v>
      </c>
      <c r="R218" t="str">
        <f t="shared" si="7"/>
        <v>your customer is not Premium customer</v>
      </c>
      <c r="S218" t="str" cm="1">
        <f t="array" ref="S218">_xlfn.IFS(L218=$L$2,"he is an "&amp;$L$2&amp;"customer",L218=$L$3,"he is an"&amp;$L$3&amp;"customer",L218=$L$4,"he is an" &amp;$L$4&amp;"customer")</f>
        <v>he is anStandardcustomer</v>
      </c>
    </row>
    <row r="219" spans="1:19" x14ac:dyDescent="0.25">
      <c r="A219" s="2" t="s">
        <v>364</v>
      </c>
      <c r="B219" s="5">
        <v>45710</v>
      </c>
      <c r="C219" s="2" t="s">
        <v>150</v>
      </c>
      <c r="D219" s="8" t="s">
        <v>151</v>
      </c>
      <c r="E219" s="2" t="s">
        <v>80</v>
      </c>
      <c r="F219" s="2" t="s">
        <v>81</v>
      </c>
      <c r="G219" s="2" t="s">
        <v>19</v>
      </c>
      <c r="H219" s="14">
        <v>1</v>
      </c>
      <c r="I219" s="11">
        <v>699.99</v>
      </c>
      <c r="J219" s="2" t="s">
        <v>34</v>
      </c>
      <c r="K219" s="2" t="s">
        <v>50</v>
      </c>
      <c r="L219" s="2" t="s">
        <v>22</v>
      </c>
      <c r="M219" s="3">
        <v>44934</v>
      </c>
      <c r="N219" s="11">
        <v>699.99</v>
      </c>
      <c r="O219" s="8" t="s">
        <v>151</v>
      </c>
      <c r="P219" t="str">
        <f t="shared" si="6"/>
        <v>Electronics</v>
      </c>
      <c r="Q219">
        <f>INDEX(D218:N468,MATCH(O219,D219:$D$251,0),11)</f>
        <v>1499.95</v>
      </c>
      <c r="R219" t="str">
        <f t="shared" si="7"/>
        <v>your customer is not Premium customer</v>
      </c>
      <c r="S219" t="str" cm="1">
        <f t="array" ref="S219">_xlfn.IFS(L219=$L$2,"he is an "&amp;$L$2&amp;"customer",L219=$L$3,"he is an"&amp;$L$3&amp;"customer",L219=$L$4,"he is an" &amp;$L$4&amp;"customer")</f>
        <v>he is an Basiccustomer</v>
      </c>
    </row>
    <row r="220" spans="1:19" x14ac:dyDescent="0.25">
      <c r="A220" s="2" t="s">
        <v>365</v>
      </c>
      <c r="B220" s="5">
        <v>45711</v>
      </c>
      <c r="C220" s="2" t="s">
        <v>246</v>
      </c>
      <c r="D220" s="8" t="s">
        <v>247</v>
      </c>
      <c r="E220" s="2" t="s">
        <v>80</v>
      </c>
      <c r="F220" s="2" t="s">
        <v>81</v>
      </c>
      <c r="G220" s="2" t="s">
        <v>19</v>
      </c>
      <c r="H220" s="14">
        <v>1</v>
      </c>
      <c r="I220" s="11">
        <v>699.99</v>
      </c>
      <c r="J220" s="2" t="s">
        <v>20</v>
      </c>
      <c r="K220" s="2" t="s">
        <v>40</v>
      </c>
      <c r="L220" s="2" t="s">
        <v>27</v>
      </c>
      <c r="M220" s="3">
        <v>44583</v>
      </c>
      <c r="N220" s="11">
        <v>699.99</v>
      </c>
      <c r="O220" s="8" t="s">
        <v>247</v>
      </c>
      <c r="P220" t="str">
        <f t="shared" si="6"/>
        <v>Electronics</v>
      </c>
      <c r="Q220">
        <f>INDEX(D219:N469,MATCH(O220,D220:$D$251,0),11)</f>
        <v>699.99</v>
      </c>
      <c r="R220" t="str">
        <f t="shared" si="7"/>
        <v>Premium</v>
      </c>
      <c r="S220" t="str" cm="1">
        <f t="array" ref="S220">_xlfn.IFS(L220=$L$2,"he is an "&amp;$L$2&amp;"customer",L220=$L$3,"he is an"&amp;$L$3&amp;"customer",L220=$L$4,"he is an" &amp;$L$4&amp;"customer")</f>
        <v>he is anPremiumcustomer</v>
      </c>
    </row>
    <row r="221" spans="1:19" x14ac:dyDescent="0.25">
      <c r="A221" s="2" t="s">
        <v>366</v>
      </c>
      <c r="B221" s="5">
        <v>45711</v>
      </c>
      <c r="C221" s="2" t="s">
        <v>325</v>
      </c>
      <c r="D221" s="8" t="s">
        <v>326</v>
      </c>
      <c r="E221" s="2" t="s">
        <v>44</v>
      </c>
      <c r="F221" s="2" t="s">
        <v>45</v>
      </c>
      <c r="G221" s="2" t="s">
        <v>46</v>
      </c>
      <c r="H221" s="14">
        <v>4</v>
      </c>
      <c r="I221" s="11">
        <v>149.99</v>
      </c>
      <c r="J221" s="2" t="s">
        <v>34</v>
      </c>
      <c r="K221" s="2" t="s">
        <v>40</v>
      </c>
      <c r="L221" s="2" t="s">
        <v>27</v>
      </c>
      <c r="M221" s="3">
        <v>44412</v>
      </c>
      <c r="N221" s="11">
        <v>599.96</v>
      </c>
      <c r="O221" s="8" t="s">
        <v>326</v>
      </c>
      <c r="P221" t="str">
        <f t="shared" si="6"/>
        <v>Furniture</v>
      </c>
      <c r="Q221">
        <f>INDEX(D220:N470,MATCH(O221,D221:$D$251,0),11)</f>
        <v>699.99</v>
      </c>
      <c r="R221" t="str">
        <f t="shared" si="7"/>
        <v>Premium</v>
      </c>
      <c r="S221" t="str" cm="1">
        <f t="array" ref="S221">_xlfn.IFS(L221=$L$2,"he is an "&amp;$L$2&amp;"customer",L221=$L$3,"he is an"&amp;$L$3&amp;"customer",L221=$L$4,"he is an" &amp;$L$4&amp;"customer")</f>
        <v>he is anPremiumcustomer</v>
      </c>
    </row>
    <row r="222" spans="1:19" x14ac:dyDescent="0.25">
      <c r="A222" s="2" t="s">
        <v>367</v>
      </c>
      <c r="B222" s="5">
        <v>45711</v>
      </c>
      <c r="C222" s="2" t="s">
        <v>211</v>
      </c>
      <c r="D222" s="8" t="s">
        <v>212</v>
      </c>
      <c r="E222" s="2" t="s">
        <v>117</v>
      </c>
      <c r="F222" s="2" t="s">
        <v>118</v>
      </c>
      <c r="G222" s="2" t="s">
        <v>19</v>
      </c>
      <c r="H222" s="14">
        <v>5</v>
      </c>
      <c r="I222" s="11">
        <v>89.99</v>
      </c>
      <c r="J222" s="2" t="s">
        <v>34</v>
      </c>
      <c r="K222" s="2" t="s">
        <v>50</v>
      </c>
      <c r="L222" s="2" t="s">
        <v>27</v>
      </c>
      <c r="M222" s="3">
        <v>45140</v>
      </c>
      <c r="N222" s="11">
        <v>449.95</v>
      </c>
      <c r="O222" s="8" t="s">
        <v>212</v>
      </c>
      <c r="P222" t="str">
        <f t="shared" si="6"/>
        <v>Electronics</v>
      </c>
      <c r="Q222">
        <f>INDEX(D221:N471,MATCH(O222,D222:$D$251,0),11)</f>
        <v>599.96</v>
      </c>
      <c r="R222" t="str">
        <f t="shared" si="7"/>
        <v>Premium</v>
      </c>
      <c r="S222" t="str" cm="1">
        <f t="array" ref="S222">_xlfn.IFS(L222=$L$2,"he is an "&amp;$L$2&amp;"customer",L222=$L$3,"he is an"&amp;$L$3&amp;"customer",L222=$L$4,"he is an" &amp;$L$4&amp;"customer")</f>
        <v>he is anPremiumcustomer</v>
      </c>
    </row>
    <row r="223" spans="1:19" x14ac:dyDescent="0.25">
      <c r="A223" s="2" t="s">
        <v>368</v>
      </c>
      <c r="B223" s="5">
        <v>45712</v>
      </c>
      <c r="C223" s="2" t="s">
        <v>138</v>
      </c>
      <c r="D223" s="8" t="s">
        <v>139</v>
      </c>
      <c r="E223" s="2" t="s">
        <v>126</v>
      </c>
      <c r="F223" s="2" t="s">
        <v>127</v>
      </c>
      <c r="G223" s="2" t="s">
        <v>46</v>
      </c>
      <c r="H223" s="14">
        <v>2</v>
      </c>
      <c r="I223" s="11">
        <v>199.99</v>
      </c>
      <c r="J223" s="2" t="s">
        <v>20</v>
      </c>
      <c r="K223" s="2" t="s">
        <v>21</v>
      </c>
      <c r="L223" s="2" t="s">
        <v>27</v>
      </c>
      <c r="M223" s="3">
        <v>44573</v>
      </c>
      <c r="N223" s="11">
        <v>399.98</v>
      </c>
      <c r="O223" s="8" t="s">
        <v>139</v>
      </c>
      <c r="P223" t="str">
        <f t="shared" si="6"/>
        <v>Furniture</v>
      </c>
      <c r="Q223">
        <f>INDEX(D222:N472,MATCH(O223,D223:$D$251,0),11)</f>
        <v>449.95</v>
      </c>
      <c r="R223" t="str">
        <f t="shared" si="7"/>
        <v>Premium</v>
      </c>
      <c r="S223" t="str" cm="1">
        <f t="array" ref="S223">_xlfn.IFS(L223=$L$2,"he is an "&amp;$L$2&amp;"customer",L223=$L$3,"he is an"&amp;$L$3&amp;"customer",L223=$L$4,"he is an" &amp;$L$4&amp;"customer")</f>
        <v>he is anPremiumcustomer</v>
      </c>
    </row>
    <row r="224" spans="1:19" x14ac:dyDescent="0.25">
      <c r="A224" s="2" t="s">
        <v>369</v>
      </c>
      <c r="B224" s="5">
        <v>45715</v>
      </c>
      <c r="C224" s="2" t="s">
        <v>259</v>
      </c>
      <c r="D224" s="8" t="s">
        <v>260</v>
      </c>
      <c r="E224" s="2" t="s">
        <v>31</v>
      </c>
      <c r="F224" s="2" t="s">
        <v>32</v>
      </c>
      <c r="G224" s="2" t="s">
        <v>33</v>
      </c>
      <c r="H224" s="14">
        <v>4</v>
      </c>
      <c r="I224" s="11">
        <v>59.99</v>
      </c>
      <c r="J224" s="2" t="s">
        <v>20</v>
      </c>
      <c r="K224" s="2" t="s">
        <v>50</v>
      </c>
      <c r="L224" s="2" t="s">
        <v>36</v>
      </c>
      <c r="M224" s="3">
        <v>45070</v>
      </c>
      <c r="N224" s="11">
        <v>239.96</v>
      </c>
      <c r="O224" s="8" t="s">
        <v>260</v>
      </c>
      <c r="P224" t="str">
        <f t="shared" si="6"/>
        <v>Appliances</v>
      </c>
      <c r="Q224">
        <f>INDEX(D223:N473,MATCH(O224,D224:$D$251,0),11)</f>
        <v>399.98</v>
      </c>
      <c r="R224" t="str">
        <f t="shared" si="7"/>
        <v>your customer is not Premium customer</v>
      </c>
      <c r="S224" t="str" cm="1">
        <f t="array" ref="S224">_xlfn.IFS(L224=$L$2,"he is an "&amp;$L$2&amp;"customer",L224=$L$3,"he is an"&amp;$L$3&amp;"customer",L224=$L$4,"he is an" &amp;$L$4&amp;"customer")</f>
        <v>he is anStandardcustomer</v>
      </c>
    </row>
    <row r="225" spans="1:19" x14ac:dyDescent="0.25">
      <c r="A225" s="2" t="s">
        <v>370</v>
      </c>
      <c r="B225" s="5">
        <v>45715</v>
      </c>
      <c r="C225" s="2" t="s">
        <v>93</v>
      </c>
      <c r="D225" s="8" t="s">
        <v>94</v>
      </c>
      <c r="E225" s="2" t="s">
        <v>105</v>
      </c>
      <c r="F225" s="2" t="s">
        <v>106</v>
      </c>
      <c r="G225" s="2" t="s">
        <v>46</v>
      </c>
      <c r="H225" s="14">
        <v>2</v>
      </c>
      <c r="I225" s="11">
        <v>299.99</v>
      </c>
      <c r="J225" s="2" t="s">
        <v>34</v>
      </c>
      <c r="K225" s="2" t="s">
        <v>35</v>
      </c>
      <c r="L225" s="2" t="s">
        <v>22</v>
      </c>
      <c r="M225" s="3">
        <v>44576</v>
      </c>
      <c r="N225" s="11">
        <v>599.98</v>
      </c>
      <c r="O225" s="8" t="s">
        <v>94</v>
      </c>
      <c r="P225" t="str">
        <f t="shared" si="6"/>
        <v>Furniture</v>
      </c>
      <c r="Q225">
        <f>INDEX(D224:N474,MATCH(O225,D225:$D$251,0),11)</f>
        <v>239.96</v>
      </c>
      <c r="R225" t="str">
        <f t="shared" si="7"/>
        <v>your customer is not Premium customer</v>
      </c>
      <c r="S225" t="str" cm="1">
        <f t="array" ref="S225">_xlfn.IFS(L225=$L$2,"he is an "&amp;$L$2&amp;"customer",L225=$L$3,"he is an"&amp;$L$3&amp;"customer",L225=$L$4,"he is an" &amp;$L$4&amp;"customer")</f>
        <v>he is an Basiccustomer</v>
      </c>
    </row>
    <row r="226" spans="1:19" x14ac:dyDescent="0.25">
      <c r="A226" s="2" t="s">
        <v>371</v>
      </c>
      <c r="B226" s="5">
        <v>45718</v>
      </c>
      <c r="C226" s="2" t="s">
        <v>55</v>
      </c>
      <c r="D226" s="8" t="s">
        <v>56</v>
      </c>
      <c r="E226" s="2" t="s">
        <v>44</v>
      </c>
      <c r="F226" s="2" t="s">
        <v>45</v>
      </c>
      <c r="G226" s="2" t="s">
        <v>46</v>
      </c>
      <c r="H226" s="14">
        <v>2</v>
      </c>
      <c r="I226" s="11">
        <v>149.99</v>
      </c>
      <c r="J226" s="2" t="s">
        <v>20</v>
      </c>
      <c r="K226" s="2" t="s">
        <v>21</v>
      </c>
      <c r="L226" s="2" t="s">
        <v>22</v>
      </c>
      <c r="M226" s="3">
        <v>45068</v>
      </c>
      <c r="N226" s="11">
        <v>299.98</v>
      </c>
      <c r="O226" s="8" t="s">
        <v>56</v>
      </c>
      <c r="P226" t="str">
        <f t="shared" si="6"/>
        <v>Furniture</v>
      </c>
      <c r="Q226">
        <f>INDEX(D225:N475,MATCH(O226,D226:$D$251,0),11)</f>
        <v>599.98</v>
      </c>
      <c r="R226" t="str">
        <f t="shared" si="7"/>
        <v>your customer is not Premium customer</v>
      </c>
      <c r="S226" t="str" cm="1">
        <f t="array" ref="S226">_xlfn.IFS(L226=$L$2,"he is an "&amp;$L$2&amp;"customer",L226=$L$3,"he is an"&amp;$L$3&amp;"customer",L226=$L$4,"he is an" &amp;$L$4&amp;"customer")</f>
        <v>he is an Basiccustomer</v>
      </c>
    </row>
    <row r="227" spans="1:19" x14ac:dyDescent="0.25">
      <c r="A227" s="2" t="s">
        <v>372</v>
      </c>
      <c r="B227" s="5">
        <v>45720</v>
      </c>
      <c r="C227" s="2" t="s">
        <v>226</v>
      </c>
      <c r="D227" s="8" t="s">
        <v>227</v>
      </c>
      <c r="E227" s="2" t="s">
        <v>80</v>
      </c>
      <c r="F227" s="2" t="s">
        <v>81</v>
      </c>
      <c r="G227" s="2" t="s">
        <v>19</v>
      </c>
      <c r="H227" s="14">
        <v>5</v>
      </c>
      <c r="I227" s="11">
        <v>699.99</v>
      </c>
      <c r="J227" s="2" t="s">
        <v>57</v>
      </c>
      <c r="K227" s="2" t="s">
        <v>63</v>
      </c>
      <c r="L227" s="2" t="s">
        <v>27</v>
      </c>
      <c r="M227" s="3">
        <v>45161</v>
      </c>
      <c r="N227" s="11">
        <v>3499.95</v>
      </c>
      <c r="O227" s="8" t="s">
        <v>227</v>
      </c>
      <c r="P227" t="str">
        <f t="shared" si="6"/>
        <v>Electronics</v>
      </c>
      <c r="Q227">
        <f>INDEX(D226:N476,MATCH(O227,D227:$D$251,0),11)</f>
        <v>299.98</v>
      </c>
      <c r="R227" t="str">
        <f t="shared" si="7"/>
        <v>Premium</v>
      </c>
      <c r="S227" t="str" cm="1">
        <f t="array" ref="S227">_xlfn.IFS(L227=$L$2,"he is an "&amp;$L$2&amp;"customer",L227=$L$3,"he is an"&amp;$L$3&amp;"customer",L227=$L$4,"he is an" &amp;$L$4&amp;"customer")</f>
        <v>he is anPremiumcustomer</v>
      </c>
    </row>
    <row r="228" spans="1:19" x14ac:dyDescent="0.25">
      <c r="A228" s="2" t="s">
        <v>373</v>
      </c>
      <c r="B228" s="5">
        <v>45721</v>
      </c>
      <c r="C228" s="2" t="s">
        <v>75</v>
      </c>
      <c r="D228" s="8" t="s">
        <v>76</v>
      </c>
      <c r="E228" s="2" t="s">
        <v>31</v>
      </c>
      <c r="F228" s="2" t="s">
        <v>32</v>
      </c>
      <c r="G228" s="2" t="s">
        <v>33</v>
      </c>
      <c r="H228" s="14">
        <v>5</v>
      </c>
      <c r="I228" s="11">
        <v>59.99</v>
      </c>
      <c r="J228" s="2" t="s">
        <v>20</v>
      </c>
      <c r="K228" s="2" t="s">
        <v>50</v>
      </c>
      <c r="L228" s="2" t="s">
        <v>27</v>
      </c>
      <c r="M228" s="3">
        <v>45291</v>
      </c>
      <c r="N228" s="11">
        <v>299.95</v>
      </c>
      <c r="O228" s="8" t="s">
        <v>76</v>
      </c>
      <c r="P228" t="str">
        <f t="shared" si="6"/>
        <v>Appliances</v>
      </c>
      <c r="Q228">
        <f>INDEX(D227:N477,MATCH(O228,D228:$D$251,0),11)</f>
        <v>3499.95</v>
      </c>
      <c r="R228" t="str">
        <f t="shared" si="7"/>
        <v>Premium</v>
      </c>
      <c r="S228" t="str" cm="1">
        <f t="array" ref="S228">_xlfn.IFS(L228=$L$2,"he is an "&amp;$L$2&amp;"customer",L228=$L$3,"he is an"&amp;$L$3&amp;"customer",L228=$L$4,"he is an" &amp;$L$4&amp;"customer")</f>
        <v>he is anPremiumcustomer</v>
      </c>
    </row>
    <row r="229" spans="1:19" x14ac:dyDescent="0.25">
      <c r="A229" s="2" t="s">
        <v>374</v>
      </c>
      <c r="B229" s="5">
        <v>45723</v>
      </c>
      <c r="C229" s="2" t="s">
        <v>15</v>
      </c>
      <c r="D229" s="8" t="s">
        <v>16</v>
      </c>
      <c r="E229" s="2" t="s">
        <v>117</v>
      </c>
      <c r="F229" s="2" t="s">
        <v>118</v>
      </c>
      <c r="G229" s="2" t="s">
        <v>19</v>
      </c>
      <c r="H229" s="14">
        <v>2</v>
      </c>
      <c r="I229" s="11">
        <v>89.99</v>
      </c>
      <c r="J229" s="2" t="s">
        <v>26</v>
      </c>
      <c r="K229" s="2" t="s">
        <v>50</v>
      </c>
      <c r="L229" s="2" t="s">
        <v>27</v>
      </c>
      <c r="M229" s="3">
        <v>45295</v>
      </c>
      <c r="N229" s="11">
        <v>179.98</v>
      </c>
      <c r="O229" s="8" t="s">
        <v>16</v>
      </c>
      <c r="P229" t="str">
        <f t="shared" si="6"/>
        <v>Electronics</v>
      </c>
      <c r="Q229">
        <f>INDEX(D228:N478,MATCH(O229,D229:$D$251,0),11)</f>
        <v>299.95</v>
      </c>
      <c r="R229" t="str">
        <f t="shared" si="7"/>
        <v>Premium</v>
      </c>
      <c r="S229" t="str" cm="1">
        <f t="array" ref="S229">_xlfn.IFS(L229=$L$2,"he is an "&amp;$L$2&amp;"customer",L229=$L$3,"he is an"&amp;$L$3&amp;"customer",L229=$L$4,"he is an" &amp;$L$4&amp;"customer")</f>
        <v>he is anPremiumcustomer</v>
      </c>
    </row>
    <row r="230" spans="1:19" x14ac:dyDescent="0.25">
      <c r="A230" s="2" t="s">
        <v>375</v>
      </c>
      <c r="B230" s="5">
        <v>45723</v>
      </c>
      <c r="C230" s="2" t="s">
        <v>120</v>
      </c>
      <c r="D230" s="8" t="s">
        <v>121</v>
      </c>
      <c r="E230" s="2" t="s">
        <v>17</v>
      </c>
      <c r="F230" s="2" t="s">
        <v>18</v>
      </c>
      <c r="G230" s="2" t="s">
        <v>19</v>
      </c>
      <c r="H230" s="14">
        <v>5</v>
      </c>
      <c r="I230" s="11">
        <v>249.99</v>
      </c>
      <c r="J230" s="2" t="s">
        <v>20</v>
      </c>
      <c r="K230" s="2" t="s">
        <v>63</v>
      </c>
      <c r="L230" s="2" t="s">
        <v>36</v>
      </c>
      <c r="M230" s="3">
        <v>44540</v>
      </c>
      <c r="N230" s="11">
        <v>1249.95</v>
      </c>
      <c r="O230" s="8" t="s">
        <v>121</v>
      </c>
      <c r="P230" t="str">
        <f t="shared" si="6"/>
        <v>Electronics</v>
      </c>
      <c r="Q230">
        <f>INDEX(D229:N479,MATCH(O230,D230:$D$251,0),11)</f>
        <v>179.98</v>
      </c>
      <c r="R230" t="str">
        <f t="shared" si="7"/>
        <v>your customer is not Premium customer</v>
      </c>
      <c r="S230" t="str" cm="1">
        <f t="array" ref="S230">_xlfn.IFS(L230=$L$2,"he is an "&amp;$L$2&amp;"customer",L230=$L$3,"he is an"&amp;$L$3&amp;"customer",L230=$L$4,"he is an" &amp;$L$4&amp;"customer")</f>
        <v>he is anStandardcustomer</v>
      </c>
    </row>
    <row r="231" spans="1:19" x14ac:dyDescent="0.25">
      <c r="A231" s="2" t="s">
        <v>376</v>
      </c>
      <c r="B231" s="5">
        <v>45724</v>
      </c>
      <c r="C231" s="2" t="s">
        <v>226</v>
      </c>
      <c r="D231" s="8" t="s">
        <v>227</v>
      </c>
      <c r="E231" s="2" t="s">
        <v>44</v>
      </c>
      <c r="F231" s="2" t="s">
        <v>45</v>
      </c>
      <c r="G231" s="2" t="s">
        <v>46</v>
      </c>
      <c r="H231" s="14">
        <v>2</v>
      </c>
      <c r="I231" s="11">
        <v>149.99</v>
      </c>
      <c r="J231" s="2" t="s">
        <v>34</v>
      </c>
      <c r="K231" s="2" t="s">
        <v>21</v>
      </c>
      <c r="L231" s="2" t="s">
        <v>27</v>
      </c>
      <c r="M231" s="3">
        <v>44632</v>
      </c>
      <c r="N231" s="11">
        <v>299.98</v>
      </c>
      <c r="O231" s="8" t="s">
        <v>227</v>
      </c>
      <c r="P231" t="str">
        <f t="shared" si="6"/>
        <v>Furniture</v>
      </c>
      <c r="Q231">
        <f>INDEX(D230:N480,MATCH(O231,D231:$D$251,0),11)</f>
        <v>1249.95</v>
      </c>
      <c r="R231" t="str">
        <f t="shared" si="7"/>
        <v>Premium</v>
      </c>
      <c r="S231" t="str" cm="1">
        <f t="array" ref="S231">_xlfn.IFS(L231=$L$2,"he is an "&amp;$L$2&amp;"customer",L231=$L$3,"he is an"&amp;$L$3&amp;"customer",L231=$L$4,"he is an" &amp;$L$4&amp;"customer")</f>
        <v>he is anPremiumcustomer</v>
      </c>
    </row>
    <row r="232" spans="1:19" x14ac:dyDescent="0.25">
      <c r="A232" s="2" t="s">
        <v>377</v>
      </c>
      <c r="B232" s="5">
        <v>45724</v>
      </c>
      <c r="C232" s="2" t="s">
        <v>144</v>
      </c>
      <c r="D232" s="8" t="s">
        <v>145</v>
      </c>
      <c r="E232" s="2" t="s">
        <v>61</v>
      </c>
      <c r="F232" s="2" t="s">
        <v>62</v>
      </c>
      <c r="G232" s="2" t="s">
        <v>19</v>
      </c>
      <c r="H232" s="14">
        <v>5</v>
      </c>
      <c r="I232" s="11">
        <v>899.99</v>
      </c>
      <c r="J232" s="2" t="s">
        <v>34</v>
      </c>
      <c r="K232" s="2" t="s">
        <v>63</v>
      </c>
      <c r="L232" s="2" t="s">
        <v>27</v>
      </c>
      <c r="M232" s="3">
        <v>45389</v>
      </c>
      <c r="N232" s="11">
        <v>4499.95</v>
      </c>
      <c r="O232" s="8" t="s">
        <v>145</v>
      </c>
      <c r="P232" t="str">
        <f t="shared" si="6"/>
        <v>Electronics</v>
      </c>
      <c r="Q232">
        <f>INDEX(D231:N481,MATCH(O232,D232:$D$251,0),11)</f>
        <v>299.98</v>
      </c>
      <c r="R232" t="str">
        <f t="shared" si="7"/>
        <v>Premium</v>
      </c>
      <c r="S232" t="str" cm="1">
        <f t="array" ref="S232">_xlfn.IFS(L232=$L$2,"he is an "&amp;$L$2&amp;"customer",L232=$L$3,"he is an"&amp;$L$3&amp;"customer",L232=$L$4,"he is an" &amp;$L$4&amp;"customer")</f>
        <v>he is anPremiumcustomer</v>
      </c>
    </row>
    <row r="233" spans="1:19" x14ac:dyDescent="0.25">
      <c r="A233" s="2" t="s">
        <v>378</v>
      </c>
      <c r="B233" s="5">
        <v>45724</v>
      </c>
      <c r="C233" s="2" t="s">
        <v>55</v>
      </c>
      <c r="D233" s="8" t="s">
        <v>56</v>
      </c>
      <c r="E233" s="2" t="s">
        <v>44</v>
      </c>
      <c r="F233" s="2" t="s">
        <v>45</v>
      </c>
      <c r="G233" s="2" t="s">
        <v>46</v>
      </c>
      <c r="H233" s="14">
        <v>4</v>
      </c>
      <c r="I233" s="11">
        <v>149.99</v>
      </c>
      <c r="J233" s="2" t="s">
        <v>20</v>
      </c>
      <c r="K233" s="2" t="s">
        <v>21</v>
      </c>
      <c r="L233" s="2" t="s">
        <v>36</v>
      </c>
      <c r="M233" s="3">
        <v>45263</v>
      </c>
      <c r="N233" s="11">
        <v>599.96</v>
      </c>
      <c r="O233" s="8" t="s">
        <v>56</v>
      </c>
      <c r="P233" t="str">
        <f t="shared" si="6"/>
        <v>Furniture</v>
      </c>
      <c r="Q233">
        <f>INDEX(D232:N482,MATCH(O233,D233:$D$251,0),11)</f>
        <v>4499.95</v>
      </c>
      <c r="R233" t="str">
        <f t="shared" si="7"/>
        <v>your customer is not Premium customer</v>
      </c>
      <c r="S233" t="str" cm="1">
        <f t="array" ref="S233">_xlfn.IFS(L233=$L$2,"he is an "&amp;$L$2&amp;"customer",L233=$L$3,"he is an"&amp;$L$3&amp;"customer",L233=$L$4,"he is an" &amp;$L$4&amp;"customer")</f>
        <v>he is anStandardcustomer</v>
      </c>
    </row>
    <row r="234" spans="1:19" x14ac:dyDescent="0.25">
      <c r="A234" s="2" t="s">
        <v>379</v>
      </c>
      <c r="B234" s="5">
        <v>45726</v>
      </c>
      <c r="C234" s="2" t="s">
        <v>144</v>
      </c>
      <c r="D234" s="8" t="s">
        <v>145</v>
      </c>
      <c r="E234" s="2" t="s">
        <v>17</v>
      </c>
      <c r="F234" s="2" t="s">
        <v>18</v>
      </c>
      <c r="G234" s="2" t="s">
        <v>19</v>
      </c>
      <c r="H234" s="14">
        <v>1</v>
      </c>
      <c r="I234" s="11">
        <v>249.99</v>
      </c>
      <c r="J234" s="2" t="s">
        <v>20</v>
      </c>
      <c r="K234" s="2" t="s">
        <v>40</v>
      </c>
      <c r="L234" s="2" t="s">
        <v>36</v>
      </c>
      <c r="M234" s="3">
        <v>45117</v>
      </c>
      <c r="N234" s="11">
        <v>249.99</v>
      </c>
      <c r="O234" s="8" t="s">
        <v>145</v>
      </c>
      <c r="P234" t="str">
        <f t="shared" si="6"/>
        <v>Electronics</v>
      </c>
      <c r="Q234">
        <f>INDEX(D233:N483,MATCH(O234,D234:$D$251,0),11)</f>
        <v>599.96</v>
      </c>
      <c r="R234" t="str">
        <f t="shared" si="7"/>
        <v>your customer is not Premium customer</v>
      </c>
      <c r="S234" t="str" cm="1">
        <f t="array" ref="S234">_xlfn.IFS(L234=$L$2,"he is an "&amp;$L$2&amp;"customer",L234=$L$3,"he is an"&amp;$L$3&amp;"customer",L234=$L$4,"he is an" &amp;$L$4&amp;"customer")</f>
        <v>he is anStandardcustomer</v>
      </c>
    </row>
    <row r="235" spans="1:19" x14ac:dyDescent="0.25">
      <c r="A235" s="2" t="s">
        <v>380</v>
      </c>
      <c r="B235" s="5">
        <v>45734</v>
      </c>
      <c r="C235" s="2" t="s">
        <v>192</v>
      </c>
      <c r="D235" s="8" t="s">
        <v>193</v>
      </c>
      <c r="E235" s="2" t="s">
        <v>31</v>
      </c>
      <c r="F235" s="2" t="s">
        <v>32</v>
      </c>
      <c r="G235" s="2" t="s">
        <v>33</v>
      </c>
      <c r="H235" s="14">
        <v>2</v>
      </c>
      <c r="I235" s="11">
        <v>59.99</v>
      </c>
      <c r="J235" s="2" t="s">
        <v>26</v>
      </c>
      <c r="K235" s="2" t="s">
        <v>50</v>
      </c>
      <c r="L235" s="2" t="s">
        <v>22</v>
      </c>
      <c r="M235" s="3">
        <v>45193</v>
      </c>
      <c r="N235" s="11">
        <v>119.98</v>
      </c>
      <c r="O235" s="8" t="s">
        <v>193</v>
      </c>
      <c r="P235" t="str">
        <f t="shared" si="6"/>
        <v>Appliances</v>
      </c>
      <c r="Q235">
        <f>INDEX(D234:N484,MATCH(O235,D235:$D$251,0),11)</f>
        <v>249.99</v>
      </c>
      <c r="R235" t="str">
        <f t="shared" si="7"/>
        <v>your customer is not Premium customer</v>
      </c>
      <c r="S235" t="str" cm="1">
        <f t="array" ref="S235">_xlfn.IFS(L235=$L$2,"he is an "&amp;$L$2&amp;"customer",L235=$L$3,"he is an"&amp;$L$3&amp;"customer",L235=$L$4,"he is an" &amp;$L$4&amp;"customer")</f>
        <v>he is an Basiccustomer</v>
      </c>
    </row>
    <row r="236" spans="1:19" x14ac:dyDescent="0.25">
      <c r="A236" s="2" t="s">
        <v>381</v>
      </c>
      <c r="B236" s="5">
        <v>45737</v>
      </c>
      <c r="C236" s="2" t="s">
        <v>132</v>
      </c>
      <c r="D236" s="8" t="s">
        <v>133</v>
      </c>
      <c r="E236" s="2" t="s">
        <v>44</v>
      </c>
      <c r="F236" s="2" t="s">
        <v>45</v>
      </c>
      <c r="G236" s="2" t="s">
        <v>46</v>
      </c>
      <c r="H236" s="14">
        <v>2</v>
      </c>
      <c r="I236" s="11">
        <v>149.99</v>
      </c>
      <c r="J236" s="2" t="s">
        <v>20</v>
      </c>
      <c r="K236" s="2" t="s">
        <v>50</v>
      </c>
      <c r="L236" s="2" t="s">
        <v>27</v>
      </c>
      <c r="M236" s="3">
        <v>45233</v>
      </c>
      <c r="N236" s="11">
        <v>299.98</v>
      </c>
      <c r="O236" s="8" t="s">
        <v>133</v>
      </c>
      <c r="P236" t="str">
        <f t="shared" si="6"/>
        <v>Furniture</v>
      </c>
      <c r="Q236">
        <f>INDEX(D235:N485,MATCH(O236,D236:$D$251,0),11)</f>
        <v>119.98</v>
      </c>
      <c r="R236" t="str">
        <f t="shared" si="7"/>
        <v>Premium</v>
      </c>
      <c r="S236" t="str" cm="1">
        <f t="array" ref="S236">_xlfn.IFS(L236=$L$2,"he is an "&amp;$L$2&amp;"customer",L236=$L$3,"he is an"&amp;$L$3&amp;"customer",L236=$L$4,"he is an" &amp;$L$4&amp;"customer")</f>
        <v>he is anPremiumcustomer</v>
      </c>
    </row>
    <row r="237" spans="1:19" x14ac:dyDescent="0.25">
      <c r="A237" s="2" t="s">
        <v>382</v>
      </c>
      <c r="B237" s="5">
        <v>45737</v>
      </c>
      <c r="C237" s="2" t="s">
        <v>150</v>
      </c>
      <c r="D237" s="8" t="s">
        <v>151</v>
      </c>
      <c r="E237" s="2" t="s">
        <v>61</v>
      </c>
      <c r="F237" s="2" t="s">
        <v>62</v>
      </c>
      <c r="G237" s="2" t="s">
        <v>19</v>
      </c>
      <c r="H237" s="14">
        <v>3</v>
      </c>
      <c r="I237" s="11">
        <v>899.99</v>
      </c>
      <c r="J237" s="2" t="s">
        <v>57</v>
      </c>
      <c r="K237" s="2" t="s">
        <v>40</v>
      </c>
      <c r="L237" s="2" t="s">
        <v>27</v>
      </c>
      <c r="M237" s="3">
        <v>44876</v>
      </c>
      <c r="N237" s="11">
        <v>2699.97</v>
      </c>
      <c r="O237" s="8" t="s">
        <v>151</v>
      </c>
      <c r="P237" t="str">
        <f t="shared" si="6"/>
        <v>Electronics</v>
      </c>
      <c r="Q237">
        <f>INDEX(D236:N486,MATCH(O237,D237:$D$251,0),11)</f>
        <v>299.98</v>
      </c>
      <c r="R237" t="str">
        <f t="shared" si="7"/>
        <v>Premium</v>
      </c>
      <c r="S237" t="str" cm="1">
        <f t="array" ref="S237">_xlfn.IFS(L237=$L$2,"he is an "&amp;$L$2&amp;"customer",L237=$L$3,"he is an"&amp;$L$3&amp;"customer",L237=$L$4,"he is an" &amp;$L$4&amp;"customer")</f>
        <v>he is anPremiumcustomer</v>
      </c>
    </row>
    <row r="238" spans="1:19" x14ac:dyDescent="0.25">
      <c r="A238" s="2" t="s">
        <v>383</v>
      </c>
      <c r="B238" s="5">
        <v>45737</v>
      </c>
      <c r="C238" s="2" t="s">
        <v>48</v>
      </c>
      <c r="D238" s="8" t="s">
        <v>49</v>
      </c>
      <c r="E238" s="2" t="s">
        <v>61</v>
      </c>
      <c r="F238" s="2" t="s">
        <v>62</v>
      </c>
      <c r="G238" s="2" t="s">
        <v>19</v>
      </c>
      <c r="H238" s="14">
        <v>3</v>
      </c>
      <c r="I238" s="11">
        <v>899.99</v>
      </c>
      <c r="J238" s="2" t="s">
        <v>34</v>
      </c>
      <c r="K238" s="2" t="s">
        <v>40</v>
      </c>
      <c r="L238" s="2" t="s">
        <v>22</v>
      </c>
      <c r="M238" s="3">
        <v>44975</v>
      </c>
      <c r="N238" s="11">
        <v>2699.97</v>
      </c>
      <c r="O238" s="8" t="s">
        <v>49</v>
      </c>
      <c r="P238" t="str">
        <f t="shared" si="6"/>
        <v>Electronics</v>
      </c>
      <c r="Q238">
        <f>INDEX(D237:N487,MATCH(O238,D238:$D$251,0),11)</f>
        <v>2699.97</v>
      </c>
      <c r="R238" t="str">
        <f t="shared" si="7"/>
        <v>your customer is not Premium customer</v>
      </c>
      <c r="S238" t="str" cm="1">
        <f t="array" ref="S238">_xlfn.IFS(L238=$L$2,"he is an "&amp;$L$2&amp;"customer",L238=$L$3,"he is an"&amp;$L$3&amp;"customer",L238=$L$4,"he is an" &amp;$L$4&amp;"customer")</f>
        <v>he is an Basiccustomer</v>
      </c>
    </row>
    <row r="239" spans="1:19" x14ac:dyDescent="0.25">
      <c r="A239" s="2" t="s">
        <v>384</v>
      </c>
      <c r="B239" s="5">
        <v>45739</v>
      </c>
      <c r="C239" s="2" t="s">
        <v>15</v>
      </c>
      <c r="D239" s="8" t="s">
        <v>16</v>
      </c>
      <c r="E239" s="2" t="s">
        <v>105</v>
      </c>
      <c r="F239" s="2" t="s">
        <v>106</v>
      </c>
      <c r="G239" s="2" t="s">
        <v>46</v>
      </c>
      <c r="H239" s="14">
        <v>3</v>
      </c>
      <c r="I239" s="11">
        <v>299.99</v>
      </c>
      <c r="J239" s="2" t="s">
        <v>26</v>
      </c>
      <c r="K239" s="2" t="s">
        <v>50</v>
      </c>
      <c r="L239" s="2" t="s">
        <v>27</v>
      </c>
      <c r="M239" s="3">
        <v>45234</v>
      </c>
      <c r="N239" s="11">
        <v>899.97</v>
      </c>
      <c r="O239" s="8" t="s">
        <v>16</v>
      </c>
      <c r="P239" t="str">
        <f t="shared" si="6"/>
        <v>Furniture</v>
      </c>
      <c r="Q239">
        <f>INDEX(D238:N488,MATCH(O239,D239:$D$251,0),11)</f>
        <v>2699.97</v>
      </c>
      <c r="R239" t="str">
        <f t="shared" si="7"/>
        <v>Premium</v>
      </c>
      <c r="S239" t="str" cm="1">
        <f t="array" ref="S239">_xlfn.IFS(L239=$L$2,"he is an "&amp;$L$2&amp;"customer",L239=$L$3,"he is an"&amp;$L$3&amp;"customer",L239=$L$4,"he is an" &amp;$L$4&amp;"customer")</f>
        <v>he is anPremiumcustomer</v>
      </c>
    </row>
    <row r="240" spans="1:19" x14ac:dyDescent="0.25">
      <c r="A240" s="2" t="s">
        <v>385</v>
      </c>
      <c r="B240" s="5">
        <v>45740</v>
      </c>
      <c r="C240" s="2" t="s">
        <v>386</v>
      </c>
      <c r="D240" s="8" t="s">
        <v>387</v>
      </c>
      <c r="E240" s="2" t="s">
        <v>44</v>
      </c>
      <c r="F240" s="2" t="s">
        <v>45</v>
      </c>
      <c r="G240" s="2" t="s">
        <v>46</v>
      </c>
      <c r="H240" s="14">
        <v>4</v>
      </c>
      <c r="I240" s="11">
        <v>149.99</v>
      </c>
      <c r="J240" s="2" t="s">
        <v>34</v>
      </c>
      <c r="K240" s="2" t="s">
        <v>50</v>
      </c>
      <c r="L240" s="2" t="s">
        <v>36</v>
      </c>
      <c r="M240" s="3">
        <v>44560</v>
      </c>
      <c r="N240" s="11">
        <v>599.96</v>
      </c>
      <c r="O240" s="8" t="s">
        <v>387</v>
      </c>
      <c r="P240" t="str">
        <f t="shared" si="6"/>
        <v>Furniture</v>
      </c>
      <c r="Q240">
        <f>INDEX(D239:N489,MATCH(O240,D240:$D$251,0),11)</f>
        <v>899.97</v>
      </c>
      <c r="R240" t="str">
        <f t="shared" si="7"/>
        <v>your customer is not Premium customer</v>
      </c>
      <c r="S240" t="str" cm="1">
        <f t="array" ref="S240">_xlfn.IFS(L240=$L$2,"he is an "&amp;$L$2&amp;"customer",L240=$L$3,"he is an"&amp;$L$3&amp;"customer",L240=$L$4,"he is an" &amp;$L$4&amp;"customer")</f>
        <v>he is anStandardcustomer</v>
      </c>
    </row>
    <row r="241" spans="1:19" x14ac:dyDescent="0.25">
      <c r="A241" s="2" t="s">
        <v>388</v>
      </c>
      <c r="B241" s="5">
        <v>45743</v>
      </c>
      <c r="C241" s="2" t="s">
        <v>102</v>
      </c>
      <c r="D241" s="8" t="s">
        <v>103</v>
      </c>
      <c r="E241" s="2" t="s">
        <v>114</v>
      </c>
      <c r="F241" s="2" t="s">
        <v>115</v>
      </c>
      <c r="G241" s="2" t="s">
        <v>33</v>
      </c>
      <c r="H241" s="14">
        <v>4</v>
      </c>
      <c r="I241" s="11">
        <v>79.989999999999995</v>
      </c>
      <c r="J241" s="2" t="s">
        <v>26</v>
      </c>
      <c r="K241" s="2" t="s">
        <v>21</v>
      </c>
      <c r="L241" s="2" t="s">
        <v>22</v>
      </c>
      <c r="M241" s="3">
        <v>45288</v>
      </c>
      <c r="N241" s="11">
        <v>319.95999999999998</v>
      </c>
      <c r="O241" s="8" t="s">
        <v>103</v>
      </c>
      <c r="P241" t="str">
        <f t="shared" si="6"/>
        <v>Appliances</v>
      </c>
      <c r="Q241">
        <f>INDEX(D240:N490,MATCH(O241,D241:$D$251,0),11)</f>
        <v>599.96</v>
      </c>
      <c r="R241" t="str">
        <f t="shared" si="7"/>
        <v>your customer is not Premium customer</v>
      </c>
      <c r="S241" t="str" cm="1">
        <f t="array" ref="S241">_xlfn.IFS(L241=$L$2,"he is an "&amp;$L$2&amp;"customer",L241=$L$3,"he is an"&amp;$L$3&amp;"customer",L241=$L$4,"he is an" &amp;$L$4&amp;"customer")</f>
        <v>he is an Basiccustomer</v>
      </c>
    </row>
    <row r="242" spans="1:19" x14ac:dyDescent="0.25">
      <c r="A242" s="2" t="s">
        <v>389</v>
      </c>
      <c r="B242" s="5">
        <v>45745</v>
      </c>
      <c r="C242" s="2" t="s">
        <v>185</v>
      </c>
      <c r="D242" s="8" t="s">
        <v>186</v>
      </c>
      <c r="E242" s="2" t="s">
        <v>117</v>
      </c>
      <c r="F242" s="2" t="s">
        <v>118</v>
      </c>
      <c r="G242" s="2" t="s">
        <v>19</v>
      </c>
      <c r="H242" s="14">
        <v>5</v>
      </c>
      <c r="I242" s="11">
        <v>89.99</v>
      </c>
      <c r="J242" s="2" t="s">
        <v>34</v>
      </c>
      <c r="K242" s="2" t="s">
        <v>35</v>
      </c>
      <c r="L242" s="2" t="s">
        <v>22</v>
      </c>
      <c r="M242" s="3">
        <v>44704</v>
      </c>
      <c r="N242" s="11">
        <v>449.95</v>
      </c>
      <c r="O242" s="8" t="s">
        <v>186</v>
      </c>
      <c r="P242" t="str">
        <f t="shared" si="6"/>
        <v>Electronics</v>
      </c>
      <c r="Q242">
        <f>INDEX(D241:N491,MATCH(O242,D242:$D$251,0),11)</f>
        <v>319.95999999999998</v>
      </c>
      <c r="R242" t="str">
        <f t="shared" si="7"/>
        <v>your customer is not Premium customer</v>
      </c>
      <c r="S242" t="str" cm="1">
        <f t="array" ref="S242">_xlfn.IFS(L242=$L$2,"he is an "&amp;$L$2&amp;"customer",L242=$L$3,"he is an"&amp;$L$3&amp;"customer",L242=$L$4,"he is an" &amp;$L$4&amp;"customer")</f>
        <v>he is an Basiccustomer</v>
      </c>
    </row>
    <row r="243" spans="1:19" x14ac:dyDescent="0.25">
      <c r="A243" s="2" t="s">
        <v>390</v>
      </c>
      <c r="B243" s="5">
        <v>45746</v>
      </c>
      <c r="C243" s="2" t="s">
        <v>93</v>
      </c>
      <c r="D243" s="8" t="s">
        <v>94</v>
      </c>
      <c r="E243" s="2" t="s">
        <v>44</v>
      </c>
      <c r="F243" s="2" t="s">
        <v>45</v>
      </c>
      <c r="G243" s="2" t="s">
        <v>46</v>
      </c>
      <c r="H243" s="14">
        <v>3</v>
      </c>
      <c r="I243" s="11">
        <v>149.99</v>
      </c>
      <c r="J243" s="2" t="s">
        <v>34</v>
      </c>
      <c r="K243" s="2" t="s">
        <v>21</v>
      </c>
      <c r="L243" s="2" t="s">
        <v>36</v>
      </c>
      <c r="M243" s="3">
        <v>45171</v>
      </c>
      <c r="N243" s="11">
        <v>449.97</v>
      </c>
      <c r="O243" s="8" t="s">
        <v>94</v>
      </c>
      <c r="P243" t="str">
        <f t="shared" si="6"/>
        <v>Furniture</v>
      </c>
      <c r="Q243">
        <f>INDEX(D242:N492,MATCH(O243,D243:$D$251,0),11)</f>
        <v>449.95</v>
      </c>
      <c r="R243" t="str">
        <f t="shared" si="7"/>
        <v>your customer is not Premium customer</v>
      </c>
      <c r="S243" t="str" cm="1">
        <f t="array" ref="S243">_xlfn.IFS(L243=$L$2,"he is an "&amp;$L$2&amp;"customer",L243=$L$3,"he is an"&amp;$L$3&amp;"customer",L243=$L$4,"he is an" &amp;$L$4&amp;"customer")</f>
        <v>he is anStandardcustomer</v>
      </c>
    </row>
    <row r="244" spans="1:19" x14ac:dyDescent="0.25">
      <c r="A244" s="2" t="s">
        <v>391</v>
      </c>
      <c r="B244" s="5">
        <v>45746</v>
      </c>
      <c r="C244" s="2" t="s">
        <v>65</v>
      </c>
      <c r="D244" s="8" t="s">
        <v>66</v>
      </c>
      <c r="E244" s="2" t="s">
        <v>117</v>
      </c>
      <c r="F244" s="2" t="s">
        <v>118</v>
      </c>
      <c r="G244" s="2" t="s">
        <v>19</v>
      </c>
      <c r="H244" s="14">
        <v>2</v>
      </c>
      <c r="I244" s="11">
        <v>89.99</v>
      </c>
      <c r="J244" s="2" t="s">
        <v>57</v>
      </c>
      <c r="K244" s="2" t="s">
        <v>50</v>
      </c>
      <c r="L244" s="2" t="s">
        <v>27</v>
      </c>
      <c r="M244" s="3">
        <v>44522</v>
      </c>
      <c r="N244" s="11">
        <v>179.98</v>
      </c>
      <c r="O244" s="8" t="s">
        <v>66</v>
      </c>
      <c r="P244" t="str">
        <f t="shared" si="6"/>
        <v>Electronics</v>
      </c>
      <c r="Q244">
        <f>INDEX(D243:N493,MATCH(O244,D244:$D$251,0),11)</f>
        <v>449.97</v>
      </c>
      <c r="R244" t="str">
        <f t="shared" si="7"/>
        <v>Premium</v>
      </c>
      <c r="S244" t="str" cm="1">
        <f t="array" ref="S244">_xlfn.IFS(L244=$L$2,"he is an "&amp;$L$2&amp;"customer",L244=$L$3,"he is an"&amp;$L$3&amp;"customer",L244=$L$4,"he is an" &amp;$L$4&amp;"customer")</f>
        <v>he is anPremiumcustomer</v>
      </c>
    </row>
    <row r="245" spans="1:19" x14ac:dyDescent="0.25">
      <c r="A245" s="2" t="s">
        <v>392</v>
      </c>
      <c r="B245" s="5">
        <v>45748</v>
      </c>
      <c r="C245" s="2" t="s">
        <v>102</v>
      </c>
      <c r="D245" s="8" t="s">
        <v>103</v>
      </c>
      <c r="E245" s="2" t="s">
        <v>80</v>
      </c>
      <c r="F245" s="2" t="s">
        <v>81</v>
      </c>
      <c r="G245" s="2" t="s">
        <v>19</v>
      </c>
      <c r="H245" s="14">
        <v>2</v>
      </c>
      <c r="I245" s="11">
        <v>699.99</v>
      </c>
      <c r="J245" s="2" t="s">
        <v>34</v>
      </c>
      <c r="K245" s="2" t="s">
        <v>40</v>
      </c>
      <c r="L245" s="2" t="s">
        <v>36</v>
      </c>
      <c r="M245" s="3">
        <v>44618</v>
      </c>
      <c r="N245" s="11">
        <v>1399.98</v>
      </c>
      <c r="O245" s="8" t="s">
        <v>103</v>
      </c>
      <c r="P245" t="str">
        <f t="shared" si="6"/>
        <v>Electronics</v>
      </c>
      <c r="Q245">
        <f>INDEX(D244:N494,MATCH(O245,D245:$D$251,0),11)</f>
        <v>179.98</v>
      </c>
      <c r="R245" t="str">
        <f t="shared" si="7"/>
        <v>your customer is not Premium customer</v>
      </c>
      <c r="S245" t="str" cm="1">
        <f t="array" ref="S245">_xlfn.IFS(L245=$L$2,"he is an "&amp;$L$2&amp;"customer",L245=$L$3,"he is an"&amp;$L$3&amp;"customer",L245=$L$4,"he is an" &amp;$L$4&amp;"customer")</f>
        <v>he is anStandardcustomer</v>
      </c>
    </row>
    <row r="246" spans="1:19" x14ac:dyDescent="0.25">
      <c r="A246" s="2" t="s">
        <v>393</v>
      </c>
      <c r="B246" s="5">
        <v>45749</v>
      </c>
      <c r="C246" s="2" t="s">
        <v>123</v>
      </c>
      <c r="D246" s="8" t="s">
        <v>124</v>
      </c>
      <c r="E246" s="2" t="s">
        <v>61</v>
      </c>
      <c r="F246" s="2" t="s">
        <v>62</v>
      </c>
      <c r="G246" s="2" t="s">
        <v>19</v>
      </c>
      <c r="H246" s="14">
        <v>3</v>
      </c>
      <c r="I246" s="11">
        <v>899.99</v>
      </c>
      <c r="J246" s="2" t="s">
        <v>20</v>
      </c>
      <c r="K246" s="2" t="s">
        <v>21</v>
      </c>
      <c r="L246" s="2" t="s">
        <v>36</v>
      </c>
      <c r="M246" s="3">
        <v>44953</v>
      </c>
      <c r="N246" s="11">
        <v>2699.97</v>
      </c>
      <c r="O246" s="8" t="s">
        <v>124</v>
      </c>
      <c r="P246" t="str">
        <f t="shared" si="6"/>
        <v>Electronics</v>
      </c>
      <c r="Q246">
        <f>INDEX(D245:N495,MATCH(O246,D246:$D$251,0),11)</f>
        <v>1399.98</v>
      </c>
      <c r="R246" t="str">
        <f t="shared" si="7"/>
        <v>your customer is not Premium customer</v>
      </c>
      <c r="S246" t="str" cm="1">
        <f t="array" ref="S246">_xlfn.IFS(L246=$L$2,"he is an "&amp;$L$2&amp;"customer",L246=$L$3,"he is an"&amp;$L$3&amp;"customer",L246=$L$4,"he is an" &amp;$L$4&amp;"customer")</f>
        <v>he is anStandardcustomer</v>
      </c>
    </row>
    <row r="247" spans="1:19" x14ac:dyDescent="0.25">
      <c r="A247" s="2" t="s">
        <v>394</v>
      </c>
      <c r="B247" s="5">
        <v>45755</v>
      </c>
      <c r="C247" s="2" t="s">
        <v>93</v>
      </c>
      <c r="D247" s="8" t="s">
        <v>94</v>
      </c>
      <c r="E247" s="2" t="s">
        <v>114</v>
      </c>
      <c r="F247" s="2" t="s">
        <v>115</v>
      </c>
      <c r="G247" s="2" t="s">
        <v>33</v>
      </c>
      <c r="H247" s="14">
        <v>3</v>
      </c>
      <c r="I247" s="11">
        <v>79.989999999999995</v>
      </c>
      <c r="J247" s="2" t="s">
        <v>26</v>
      </c>
      <c r="K247" s="2" t="s">
        <v>40</v>
      </c>
      <c r="L247" s="2" t="s">
        <v>22</v>
      </c>
      <c r="M247" s="3">
        <v>44511</v>
      </c>
      <c r="N247" s="11">
        <v>239.97</v>
      </c>
      <c r="O247" s="8" t="s">
        <v>94</v>
      </c>
      <c r="P247" t="str">
        <f t="shared" si="6"/>
        <v>Appliances</v>
      </c>
      <c r="Q247">
        <f>INDEX(D246:N496,MATCH(O247,D247:$D$251,0),11)</f>
        <v>2699.97</v>
      </c>
      <c r="R247" t="str">
        <f t="shared" si="7"/>
        <v>your customer is not Premium customer</v>
      </c>
      <c r="S247" t="str" cm="1">
        <f t="array" ref="S247">_xlfn.IFS(L247=$L$2,"he is an "&amp;$L$2&amp;"customer",L247=$L$3,"he is an"&amp;$L$3&amp;"customer",L247=$L$4,"he is an" &amp;$L$4&amp;"customer")</f>
        <v>he is an Basiccustomer</v>
      </c>
    </row>
    <row r="248" spans="1:19" x14ac:dyDescent="0.25">
      <c r="A248" s="2" t="s">
        <v>395</v>
      </c>
      <c r="B248" s="5">
        <v>45756</v>
      </c>
      <c r="C248" s="2" t="s">
        <v>59</v>
      </c>
      <c r="D248" s="8" t="s">
        <v>60</v>
      </c>
      <c r="E248" s="2" t="s">
        <v>117</v>
      </c>
      <c r="F248" s="2" t="s">
        <v>118</v>
      </c>
      <c r="G248" s="2" t="s">
        <v>19</v>
      </c>
      <c r="H248" s="14">
        <v>1</v>
      </c>
      <c r="I248" s="11">
        <v>89.99</v>
      </c>
      <c r="J248" s="2" t="s">
        <v>57</v>
      </c>
      <c r="K248" s="2" t="s">
        <v>63</v>
      </c>
      <c r="L248" s="2" t="s">
        <v>22</v>
      </c>
      <c r="M248" s="3">
        <v>45346</v>
      </c>
      <c r="N248" s="11">
        <v>89.99</v>
      </c>
      <c r="O248" s="8" t="s">
        <v>60</v>
      </c>
      <c r="P248" t="str">
        <f t="shared" si="6"/>
        <v>Electronics</v>
      </c>
      <c r="Q248">
        <f>INDEX(D247:N497,MATCH(O248,D248:$D$251,0),11)</f>
        <v>239.97</v>
      </c>
      <c r="R248" t="str">
        <f t="shared" si="7"/>
        <v>your customer is not Premium customer</v>
      </c>
      <c r="S248" t="str" cm="1">
        <f t="array" ref="S248">_xlfn.IFS(L248=$L$2,"he is an "&amp;$L$2&amp;"customer",L248=$L$3,"he is an"&amp;$L$3&amp;"customer",L248=$L$4,"he is an" &amp;$L$4&amp;"customer")</f>
        <v>he is an Basiccustomer</v>
      </c>
    </row>
    <row r="249" spans="1:19" x14ac:dyDescent="0.25">
      <c r="A249" s="2" t="s">
        <v>396</v>
      </c>
      <c r="B249" s="5">
        <v>45758</v>
      </c>
      <c r="C249" s="2" t="s">
        <v>293</v>
      </c>
      <c r="D249" s="8" t="s">
        <v>294</v>
      </c>
      <c r="E249" s="2" t="s">
        <v>80</v>
      </c>
      <c r="F249" s="2" t="s">
        <v>81</v>
      </c>
      <c r="G249" s="2" t="s">
        <v>19</v>
      </c>
      <c r="H249" s="14">
        <v>3</v>
      </c>
      <c r="I249" s="11">
        <v>699.99</v>
      </c>
      <c r="J249" s="2" t="s">
        <v>34</v>
      </c>
      <c r="K249" s="2" t="s">
        <v>40</v>
      </c>
      <c r="L249" s="2" t="s">
        <v>22</v>
      </c>
      <c r="M249" s="3">
        <v>44909</v>
      </c>
      <c r="N249" s="11">
        <v>2099.9699999999998</v>
      </c>
      <c r="O249" s="8" t="s">
        <v>294</v>
      </c>
      <c r="P249" t="str">
        <f t="shared" si="6"/>
        <v>Electronics</v>
      </c>
      <c r="Q249">
        <f>INDEX(D248:N498,MATCH(O249,D249:$D$251,0),11)</f>
        <v>89.99</v>
      </c>
      <c r="R249" t="str">
        <f t="shared" si="7"/>
        <v>your customer is not Premium customer</v>
      </c>
      <c r="S249" t="str" cm="1">
        <f t="array" ref="S249">_xlfn.IFS(L249=$L$2,"he is an "&amp;$L$2&amp;"customer",L249=$L$3,"he is an"&amp;$L$3&amp;"customer",L249=$L$4,"he is an" &amp;$L$4&amp;"customer")</f>
        <v>he is an Basiccustomer</v>
      </c>
    </row>
    <row r="250" spans="1:19" x14ac:dyDescent="0.25">
      <c r="A250" s="2" t="s">
        <v>397</v>
      </c>
      <c r="B250" s="5">
        <v>45758</v>
      </c>
      <c r="C250" s="2" t="s">
        <v>226</v>
      </c>
      <c r="D250" s="8" t="s">
        <v>227</v>
      </c>
      <c r="E250" s="2" t="s">
        <v>117</v>
      </c>
      <c r="F250" s="2" t="s">
        <v>118</v>
      </c>
      <c r="G250" s="2" t="s">
        <v>19</v>
      </c>
      <c r="H250" s="14">
        <v>2</v>
      </c>
      <c r="I250" s="11">
        <v>89.99</v>
      </c>
      <c r="J250" s="2" t="s">
        <v>57</v>
      </c>
      <c r="K250" s="2" t="s">
        <v>63</v>
      </c>
      <c r="L250" s="2" t="s">
        <v>22</v>
      </c>
      <c r="M250" s="3">
        <v>45088</v>
      </c>
      <c r="N250" s="11">
        <v>179.98</v>
      </c>
      <c r="O250" s="8" t="s">
        <v>227</v>
      </c>
      <c r="P250" t="str">
        <f t="shared" si="6"/>
        <v>Electronics</v>
      </c>
      <c r="Q250">
        <f>INDEX(D249:N499,MATCH(O250,D250:$D$251,0),11)</f>
        <v>2099.9699999999998</v>
      </c>
      <c r="R250" t="str">
        <f t="shared" si="7"/>
        <v>your customer is not Premium customer</v>
      </c>
      <c r="S250" t="str" cm="1">
        <f t="array" ref="S250">_xlfn.IFS(L250=$L$2,"he is an "&amp;$L$2&amp;"customer",L250=$L$3,"he is an"&amp;$L$3&amp;"customer",L250=$L$4,"he is an" &amp;$L$4&amp;"customer")</f>
        <v>he is an Basiccustomer</v>
      </c>
    </row>
    <row r="251" spans="1:19" x14ac:dyDescent="0.25">
      <c r="A251" s="2" t="s">
        <v>398</v>
      </c>
      <c r="B251" s="5">
        <v>45758</v>
      </c>
      <c r="C251" s="2" t="s">
        <v>138</v>
      </c>
      <c r="D251" s="8" t="s">
        <v>139</v>
      </c>
      <c r="E251" s="2" t="s">
        <v>117</v>
      </c>
      <c r="F251" s="2" t="s">
        <v>118</v>
      </c>
      <c r="G251" s="2" t="s">
        <v>19</v>
      </c>
      <c r="H251" s="14">
        <v>3</v>
      </c>
      <c r="I251" s="11">
        <v>89.99</v>
      </c>
      <c r="J251" s="2" t="s">
        <v>57</v>
      </c>
      <c r="K251" s="2" t="s">
        <v>40</v>
      </c>
      <c r="L251" s="2" t="s">
        <v>27</v>
      </c>
      <c r="M251" s="3">
        <v>44878</v>
      </c>
      <c r="N251" s="11">
        <v>269.97000000000003</v>
      </c>
      <c r="O251" s="8" t="s">
        <v>139</v>
      </c>
      <c r="P251" t="str">
        <f t="shared" si="6"/>
        <v>Electronics</v>
      </c>
      <c r="Q251">
        <f>INDEX(D250:N500,MATCH(O251,D251:$D$251,0),11)</f>
        <v>179.98</v>
      </c>
      <c r="R251" t="str">
        <f t="shared" si="7"/>
        <v>Premium</v>
      </c>
      <c r="S251" t="str" cm="1">
        <f t="array" ref="S251">_xlfn.IFS(L251=$L$2,"he is an "&amp;$L$2&amp;"customer",L251=$L$3,"he is an"&amp;$L$3&amp;"customer",L251=$L$4,"he is an" &amp;$L$4&amp;"customer")</f>
        <v>he is anPremiumcustomer</v>
      </c>
    </row>
  </sheetData>
  <conditionalFormatting sqref="N1:N1048576">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7F514-5D6A-4248-822A-1A75A4D2FC35}">
  <dimension ref="A1:C12"/>
  <sheetViews>
    <sheetView workbookViewId="0">
      <selection activeCell="E12" sqref="E12"/>
    </sheetView>
  </sheetViews>
  <sheetFormatPr defaultRowHeight="15" x14ac:dyDescent="0.25"/>
  <cols>
    <col min="1" max="1" width="20.28515625" bestFit="1" customWidth="1"/>
    <col min="2" max="2" width="16.85546875" bestFit="1" customWidth="1"/>
    <col min="3" max="3" width="11.28515625" bestFit="1" customWidth="1"/>
    <col min="4" max="4" width="9" bestFit="1" customWidth="1"/>
    <col min="5" max="5" width="11.28515625" bestFit="1" customWidth="1"/>
  </cols>
  <sheetData>
    <row r="1" spans="1:3" x14ac:dyDescent="0.25">
      <c r="A1" s="25" t="s">
        <v>402</v>
      </c>
      <c r="B1" s="25" t="s">
        <v>408</v>
      </c>
      <c r="C1" s="24"/>
    </row>
    <row r="2" spans="1:3" x14ac:dyDescent="0.25">
      <c r="A2" s="25" t="s">
        <v>399</v>
      </c>
      <c r="B2" s="24" t="s">
        <v>22</v>
      </c>
      <c r="C2" s="24" t="s">
        <v>400</v>
      </c>
    </row>
    <row r="3" spans="1:3" x14ac:dyDescent="0.25">
      <c r="A3" s="26" t="s">
        <v>33</v>
      </c>
      <c r="B3" s="24">
        <v>2819.6</v>
      </c>
      <c r="C3" s="24">
        <v>2819.6</v>
      </c>
    </row>
    <row r="4" spans="1:3" x14ac:dyDescent="0.25">
      <c r="A4" s="27" t="s">
        <v>409</v>
      </c>
      <c r="B4" s="24">
        <v>1759.75</v>
      </c>
      <c r="C4" s="24">
        <v>1759.75</v>
      </c>
    </row>
    <row r="5" spans="1:3" x14ac:dyDescent="0.25">
      <c r="A5" s="27" t="s">
        <v>410</v>
      </c>
      <c r="B5" s="24">
        <v>1059.8499999999999</v>
      </c>
      <c r="C5" s="24">
        <v>1059.8499999999999</v>
      </c>
    </row>
    <row r="6" spans="1:3" x14ac:dyDescent="0.25">
      <c r="A6" s="26" t="s">
        <v>19</v>
      </c>
      <c r="B6" s="24">
        <v>40109.06</v>
      </c>
      <c r="C6" s="24">
        <v>40109.06</v>
      </c>
    </row>
    <row r="7" spans="1:3" x14ac:dyDescent="0.25">
      <c r="A7" s="27" t="s">
        <v>409</v>
      </c>
      <c r="B7" s="24">
        <v>28679.339999999997</v>
      </c>
      <c r="C7" s="24">
        <v>28679.339999999997</v>
      </c>
    </row>
    <row r="8" spans="1:3" x14ac:dyDescent="0.25">
      <c r="A8" s="27" t="s">
        <v>410</v>
      </c>
      <c r="B8" s="24">
        <v>11429.719999999998</v>
      </c>
      <c r="C8" s="24">
        <v>11429.719999999998</v>
      </c>
    </row>
    <row r="9" spans="1:3" x14ac:dyDescent="0.25">
      <c r="A9" s="26" t="s">
        <v>46</v>
      </c>
      <c r="B9" s="24">
        <v>19249.150000000001</v>
      </c>
      <c r="C9" s="24">
        <v>19249.150000000001</v>
      </c>
    </row>
    <row r="10" spans="1:3" x14ac:dyDescent="0.25">
      <c r="A10" s="27" t="s">
        <v>409</v>
      </c>
      <c r="B10" s="24">
        <v>13549.36</v>
      </c>
      <c r="C10" s="24">
        <v>13549.36</v>
      </c>
    </row>
    <row r="11" spans="1:3" x14ac:dyDescent="0.25">
      <c r="A11" s="27" t="s">
        <v>410</v>
      </c>
      <c r="B11" s="24">
        <v>5699.79</v>
      </c>
      <c r="C11" s="24">
        <v>5699.79</v>
      </c>
    </row>
    <row r="12" spans="1:3" x14ac:dyDescent="0.25">
      <c r="A12" s="26" t="s">
        <v>400</v>
      </c>
      <c r="B12" s="24">
        <v>62177.80999999999</v>
      </c>
      <c r="C12" s="24">
        <v>62177.80999999999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758F-F059-47F1-BB4E-AAB8BEF5680D}">
  <dimension ref="A1:W10"/>
  <sheetViews>
    <sheetView tabSelected="1" workbookViewId="0">
      <selection activeCell="Q3" sqref="Q3:S10"/>
    </sheetView>
  </sheetViews>
  <sheetFormatPr defaultRowHeight="15" x14ac:dyDescent="0.25"/>
  <cols>
    <col min="1" max="16384" width="9.140625" style="22"/>
  </cols>
  <sheetData>
    <row r="1" spans="1:23" ht="60" customHeight="1" x14ac:dyDescent="0.25">
      <c r="A1" s="29" t="s">
        <v>412</v>
      </c>
      <c r="B1" s="30"/>
      <c r="C1" s="30"/>
      <c r="D1" s="30"/>
      <c r="E1" s="30"/>
      <c r="F1" s="30"/>
      <c r="G1" s="30"/>
      <c r="H1" s="30"/>
      <c r="I1" s="30"/>
      <c r="J1" s="30"/>
      <c r="K1" s="30"/>
      <c r="L1" s="30"/>
      <c r="M1" s="30"/>
      <c r="N1" s="30"/>
      <c r="O1" s="30"/>
      <c r="P1" s="30"/>
      <c r="Q1" s="30"/>
      <c r="R1" s="30"/>
      <c r="S1" s="30"/>
      <c r="T1" s="30"/>
      <c r="U1" s="30"/>
      <c r="V1" s="30"/>
      <c r="W1" s="30"/>
    </row>
    <row r="2" spans="1:23" ht="15" customHeight="1" x14ac:dyDescent="0.25"/>
    <row r="3" spans="1:23" ht="15" customHeight="1" x14ac:dyDescent="0.25">
      <c r="M3" s="28">
        <f>GETPIVOTDATA("Total_Amount",charts!$A$1)</f>
        <v>62177.80999999999</v>
      </c>
      <c r="N3" s="28"/>
      <c r="O3" s="28"/>
      <c r="Q3" s="23">
        <f>GETPIVOTDATA("Sum of Quantity",'data analysis'!$A$1)</f>
        <v>753</v>
      </c>
      <c r="R3" s="23"/>
      <c r="S3" s="23"/>
      <c r="U3" s="28">
        <f>GETPIVOTDATA("Sum of Unit_Price",'data analysis'!$A$1)</f>
        <v>74167.500000000029</v>
      </c>
      <c r="V3" s="28"/>
      <c r="W3" s="28"/>
    </row>
    <row r="4" spans="1:23" ht="15" customHeight="1" x14ac:dyDescent="0.25">
      <c r="M4" s="28"/>
      <c r="N4" s="28"/>
      <c r="O4" s="28"/>
      <c r="Q4" s="23"/>
      <c r="R4" s="23"/>
      <c r="S4" s="23"/>
      <c r="U4" s="28"/>
      <c r="V4" s="28"/>
      <c r="W4" s="28"/>
    </row>
    <row r="5" spans="1:23" ht="15" customHeight="1" x14ac:dyDescent="0.25">
      <c r="M5" s="28"/>
      <c r="N5" s="28"/>
      <c r="O5" s="28"/>
      <c r="Q5" s="23"/>
      <c r="R5" s="23"/>
      <c r="S5" s="23"/>
      <c r="U5" s="28"/>
      <c r="V5" s="28"/>
      <c r="W5" s="28"/>
    </row>
    <row r="6" spans="1:23" ht="28.5" customHeight="1" x14ac:dyDescent="0.25">
      <c r="M6" s="28"/>
      <c r="N6" s="28"/>
      <c r="O6" s="28"/>
      <c r="Q6" s="23"/>
      <c r="R6" s="23"/>
      <c r="S6" s="23"/>
      <c r="U6" s="28"/>
      <c r="V6" s="28"/>
      <c r="W6" s="28"/>
    </row>
    <row r="7" spans="1:23" x14ac:dyDescent="0.25">
      <c r="M7" s="28"/>
      <c r="N7" s="28"/>
      <c r="O7" s="28"/>
      <c r="Q7" s="23"/>
      <c r="R7" s="23"/>
      <c r="S7" s="23"/>
      <c r="U7" s="28"/>
      <c r="V7" s="28"/>
      <c r="W7" s="28"/>
    </row>
    <row r="8" spans="1:23" x14ac:dyDescent="0.25">
      <c r="M8" s="28"/>
      <c r="N8" s="28"/>
      <c r="O8" s="28"/>
      <c r="Q8" s="23"/>
      <c r="R8" s="23"/>
      <c r="S8" s="23"/>
      <c r="U8" s="28"/>
      <c r="V8" s="28"/>
      <c r="W8" s="28"/>
    </row>
    <row r="9" spans="1:23" x14ac:dyDescent="0.25">
      <c r="M9" s="28"/>
      <c r="N9" s="28"/>
      <c r="O9" s="28"/>
      <c r="Q9" s="23"/>
      <c r="R9" s="23"/>
      <c r="S9" s="23"/>
      <c r="U9" s="28"/>
      <c r="V9" s="28"/>
      <c r="W9" s="28"/>
    </row>
    <row r="10" spans="1:23" x14ac:dyDescent="0.25">
      <c r="M10" s="28"/>
      <c r="N10" s="28"/>
      <c r="O10" s="28"/>
      <c r="Q10" s="23"/>
      <c r="R10" s="23"/>
      <c r="S10" s="23"/>
      <c r="U10" s="28"/>
      <c r="V10" s="28"/>
      <c r="W10" s="28"/>
    </row>
  </sheetData>
  <mergeCells count="4">
    <mergeCell ref="A1:W1"/>
    <mergeCell ref="M3:O10"/>
    <mergeCell ref="Q3:S10"/>
    <mergeCell ref="U3:W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data analysis</vt:lpstr>
      <vt:lpstr>remove duplicate</vt:lpstr>
      <vt:lpstr>charts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2025-11-10T05:52:50Z</dcterms:created>
  <dcterms:modified xsi:type="dcterms:W3CDTF">2025-11-10T08:26:44Z</dcterms:modified>
</cp:coreProperties>
</file>